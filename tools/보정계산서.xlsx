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s(n) 표" sheetId="2" state="visible" r:id="rId2"/>
    <sheet xmlns:r="http://schemas.openxmlformats.org/officeDocument/2006/relationships" name="평가군 계산" sheetId="3" state="visible" r:id="rId3"/>
    <sheet xmlns:r="http://schemas.openxmlformats.org/officeDocument/2006/relationships" name="종합점수·등급" sheetId="4" state="visible" r:id="rId4"/>
    <sheet xmlns:r="http://schemas.openxmlformats.org/officeDocument/2006/relationships" name="검증" sheetId="5" state="visible" r:id="rId5"/>
    <sheet xmlns:r="http://schemas.openxmlformats.org/officeDocument/2006/relationships" name="예제" sheetId="6" state="visible" r:id="rId6"/>
    <sheet xmlns:r="http://schemas.openxmlformats.org/officeDocument/2006/relationships" name="MIS 요구사항" sheetId="7" state="visible" r:id="rId7"/>
    <sheet xmlns:r="http://schemas.openxmlformats.org/officeDocument/2006/relationships" name="근거 조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00"/>
    <numFmt numFmtId="166" formatCode="0.0##"/>
    <numFmt numFmtId="167" formatCode="0.000"/>
    <numFmt numFmtId="168" formatCode="0.0"/>
    <numFmt numFmtId="169" formatCode="+0.00;-0.00;0.00"/>
  </numFmts>
  <fonts count="8">
    <font>
      <name val="Calibri"/>
      <family val="2"/>
      <color theme="1"/>
      <sz val="11"/>
      <scheme val="minor"/>
    </font>
    <font>
      <b val="1"/>
      <sz val="13"/>
    </font>
    <font>
      <color rgb="00595959"/>
      <sz val="9"/>
    </font>
    <font>
      <b val="1"/>
      <sz val="10"/>
    </font>
    <font>
      <sz val="10"/>
    </font>
    <font>
      <b val="1"/>
      <sz val="11"/>
    </font>
    <font>
      <b val="1"/>
      <sz val="12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5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/>
    </xf>
    <xf numFmtId="0" fontId="6" fillId="4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 vertical="center"/>
    </xf>
    <xf numFmtId="164" fontId="4" fillId="4" borderId="0" pivotButton="0" quotePrefix="0" xfId="0"/>
    <xf numFmtId="165" fontId="4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2" fillId="4" borderId="0" pivotButton="0" quotePrefix="0" xfId="0"/>
    <xf numFmtId="0" fontId="4" fillId="5" borderId="0" pivotButton="0" quotePrefix="0" xfId="0"/>
    <xf numFmtId="166" fontId="4" fillId="3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7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/>
    </xf>
    <xf numFmtId="2" fontId="4" fillId="4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9" fontId="4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6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창업진흥원 근무평정 점수 보정 실무 계산서</t>
        </is>
      </c>
    </row>
    <row r="2">
      <c r="A2" s="2" t="inlineStr">
        <is>
          <t>개정안 [별표 9] 「평가자별 평가점수의 보정 방법」을 엑셀 수식으로 구현한 파일</t>
        </is>
      </c>
    </row>
    <row r="4" ht="32" customHeight="1">
      <c r="A4" s="3" t="inlineStr">
        <is>
          <t>고지 — 이 파일의 모든 인명·점수는 산식 검증을 위한 모의 예시 데이터이며, 창업진흥원의 실제 근무평정 결과가 아니다.</t>
        </is>
      </c>
    </row>
    <row r="5" ht="30" customHeight="1">
      <c r="A5" s="4" t="inlineStr">
        <is>
          <t>이 파일은 조합이 2026년 2분기 노사협의회에 제출하는 개정안 [별표 9]의 구현이다. 정본은 docs/amendments.md 이며, 이 파일과 정본이 어긋나면 정본이 우선한다.</t>
        </is>
      </c>
    </row>
    <row r="7">
      <c r="A7" s="2" t="inlineStr">
        <is>
          <t>이 파일을 만든 이유</t>
        </is>
      </c>
    </row>
    <row r="8" ht="46" customHeight="1">
      <c r="A8" s="4" t="inlineStr">
        <is>
          <t>1. 검산 가능성의 증명 — 조합은 「검산할 수 없는 산식은 규정에 담을 수 없다」를 원칙으로 세웠고, 그 이유로 혼합효과 모형·Bradley-Terry·경험베이즈 등 고급 기법을 전부 폐기했다. 이 파일은 개정안 산식이 엑셀 수식 몇 줄로 구현된다는 물증이다. 모든 셀은 값이 아니라 수식이다 — 셀을 클릭해 확인하라.</t>
        </is>
      </c>
    </row>
    <row r="9" ht="46" customHeight="1">
      <c r="A9" s="4" t="inlineStr">
        <is>
          <t>2. MIS 개선 요청 명세 — 내부경영정보시스템 근무평정 모듈에 이 계산을 넣도록 요청할 때의 기능 명세서가 된다(⑦ 시트).</t>
        </is>
      </c>
    </row>
    <row r="11">
      <c r="A11" s="2" t="inlineStr">
        <is>
          <t>셀 색 구분</t>
        </is>
      </c>
    </row>
    <row r="12">
      <c r="A12" s="5" t="inlineStr">
        <is>
          <t xml:space="preserve">  입력 셀 — 실무자가 채운다</t>
        </is>
      </c>
      <c r="B12" s="4" t="inlineStr">
        <is>
          <t>원점수 · 제7호 조정량 · 조정 사유 · 다면평가 점수 · 유효 응답 수 · 공통평가 점수 · 부서장 여부 · 배점 스위치</t>
        </is>
      </c>
    </row>
    <row r="13">
      <c r="A13" s="6" t="inlineStr">
        <is>
          <t xml:space="preserve">  자동 계산 셀 — 손대지 않는다</t>
        </is>
      </c>
      <c r="B13" s="4" t="inlineStr">
        <is>
          <t>인원 n · 순위 r · s(n) · z · 보정점수 · 조정 후 점수 · 종합점수 · 등급 · 평정점 · 모든 검증 판정</t>
        </is>
      </c>
    </row>
    <row r="14">
      <c r="A14" s="7" t="inlineStr">
        <is>
          <t xml:space="preserve">  고지 · 경고</t>
        </is>
      </c>
      <c r="B14" s="8" t="inlineStr">
        <is>
          <t>동점 입력 경고, 모의 데이터 고지 등 반드시 읽어야 하는 문구</t>
        </is>
      </c>
    </row>
    <row r="15">
      <c r="A15" s="9" t="inlineStr">
        <is>
          <t xml:space="preserve">  PASS / FAIL</t>
        </is>
      </c>
      <c r="B15" s="4" t="inlineStr">
        <is>
          <t>⑤ 검증 시트의 판정. 녹색이 PASS, 적색이 FAIL이다. FAIL이 하나라도 있으면 입력을 다시 확인하라.</t>
        </is>
      </c>
    </row>
    <row r="17">
      <c r="A17" s="2" t="inlineStr">
        <is>
          <t>작업 순서</t>
        </is>
      </c>
    </row>
    <row r="18">
      <c r="A18" s="10" t="inlineStr">
        <is>
          <t>순서</t>
        </is>
      </c>
      <c r="B18" s="10" t="inlineStr">
        <is>
          <t>시트</t>
        </is>
      </c>
      <c r="C18" s="10" t="inlineStr">
        <is>
          <t>무엇을 하는가</t>
        </is>
      </c>
    </row>
    <row r="19" ht="44" customHeight="1">
      <c r="A19" s="11" t="inlineStr">
        <is>
          <t>1</t>
        </is>
      </c>
      <c r="B19" s="11" t="inlineStr">
        <is>
          <t>② 평가군 계산</t>
        </is>
      </c>
      <c r="C19" s="12" t="inlineStr">
        <is>
          <t>평가자명 · 평가군 구분(1차/2차) · 직급 · 피평가자 · 원점수를 입력한다. 평가군은 「동일 평가자 · 동일 평가구분 · 동일 직급군」이다([별표 9] 제1호). 평가군마다 행을 붙여서 쓴다.</t>
        </is>
      </c>
    </row>
    <row r="20" ht="44" customHeight="1">
      <c r="A20" s="11" t="inlineStr">
        <is>
          <t>2</t>
        </is>
      </c>
      <c r="B20" s="11" t="inlineStr">
        <is>
          <t>② 동점 확인</t>
        </is>
      </c>
      <c r="C20" s="12" t="inlineStr">
        <is>
          <t>4행의 「동점 입력 건수」가 0건인지 확인한다. 동점이 있으면 순위가 중복되어 산식이 깨진다. 개정 2가 동점을 금지하므로 정상 운용에서는 발생하지 않지만 입력 오류를 여기서 잡는다.</t>
        </is>
      </c>
    </row>
    <row r="21" ht="44" customHeight="1">
      <c r="A21" s="11" t="inlineStr">
        <is>
          <t>3</t>
        </is>
      </c>
      <c r="B21" s="11" t="inlineStr">
        <is>
          <t>② 제5호 확인</t>
        </is>
      </c>
      <c r="C21" s="12" t="inlineStr">
        <is>
          <t>인원 n이 6명 미만인 평가군은 「제5호 미실시」로 자동 표시되고, 2차 평가자의 보정점수가 자동으로 기준점수가 된다. 2차도 6명 미만이면 80점이 들어간다.</t>
        </is>
      </c>
    </row>
    <row r="22" ht="44" customHeight="1">
      <c r="A22" s="11" t="inlineStr">
        <is>
          <t>4</t>
        </is>
      </c>
      <c r="B22" s="11" t="inlineStr">
        <is>
          <t>② 제7호 조정</t>
        </is>
      </c>
      <c r="C22" s="12" t="inlineStr">
        <is>
          <t>1차 평가자가 조정란(±5점)에 입력한다. ⑤ 검증 시트에서 평가군별 합계가 0.00인지 확인한다. 조정한 피평가자는 사유란을 반드시 채운다. 2차 평가자는 조정하지 아니한다.</t>
        </is>
      </c>
    </row>
    <row r="23" ht="44" customHeight="1">
      <c r="A23" s="11" t="inlineStr">
        <is>
          <t>5</t>
        </is>
      </c>
      <c r="B23" s="11" t="inlineStr">
        <is>
          <t>③ 종합점수·등급</t>
        </is>
      </c>
      <c r="C23" s="12" t="inlineStr">
        <is>
          <t>다면(상향)평가 점수 · 유효 응답 수 · 공통평가 점수 · 부서장 여부를 입력한다. B3의 배점 스위치로 개정 14 채택안(75:20:5)과 현행(85:10:5)을 전환한다.</t>
        </is>
      </c>
    </row>
    <row r="24" ht="44" customHeight="1">
      <c r="A24" s="11" t="inlineStr">
        <is>
          <t>6</t>
        </is>
      </c>
      <c r="B24" s="11" t="inlineStr">
        <is>
          <t>③ 등급 확인</t>
        </is>
      </c>
      <c r="C24" s="12" t="inlineStr">
        <is>
          <t>등급 정원은 직급별 전사 단위로 최대잔여법에 따라 자동 배정된다(시트 하단 정원 블록). 부서 단위 배정이 아니다(규칙 제26조①).</t>
        </is>
      </c>
    </row>
    <row r="25" ht="44" customHeight="1">
      <c r="A25" s="11" t="inlineStr">
        <is>
          <t>7</t>
        </is>
      </c>
      <c r="B25" s="11" t="inlineStr">
        <is>
          <t>⑤ 검증</t>
        </is>
      </c>
      <c r="C25" s="12" t="inlineStr">
        <is>
          <t>모든 판정이 PASS인지 확인한다. 종합 판정 셀 하나만 봐도 된다.</t>
        </is>
      </c>
    </row>
    <row r="26" ht="44" customHeight="1">
      <c r="A26" s="11" t="inlineStr">
        <is>
          <t>8</t>
        </is>
      </c>
      <c r="B26" s="11" t="inlineStr">
        <is>
          <t>인쇄 · 제출</t>
        </is>
      </c>
      <c r="C26" s="12" t="inlineStr">
        <is>
          <t>사측 설명 시에는 ⑤ 검증 → ⑥ 예제 → ④ s(n) 표 순서로 보인다. ④는 「그 표는 어디서 나왔는가」에 대한 답이다.</t>
        </is>
      </c>
    </row>
    <row r="28">
      <c r="A28" s="2" t="inlineStr">
        <is>
          <t>시트 구성</t>
        </is>
      </c>
    </row>
    <row r="29">
      <c r="A29" s="10" t="inlineStr">
        <is>
          <t>시트</t>
        </is>
      </c>
      <c r="B29" s="10" t="inlineStr">
        <is>
          <t>내용</t>
        </is>
      </c>
    </row>
    <row r="30" ht="40" customHeight="1">
      <c r="A30" s="11" t="inlineStr">
        <is>
          <t>사용법</t>
        </is>
      </c>
      <c r="B30" s="12" t="inlineStr">
        <is>
          <t>이 시트. 색 구분과 작업 순서.</t>
        </is>
      </c>
    </row>
    <row r="31" ht="40" customHeight="1">
      <c r="A31" s="11" t="inlineStr">
        <is>
          <t>평가군 계산</t>
        </is>
      </c>
      <c r="B31" s="12" t="inlineStr">
        <is>
          <t>★ 주 시트. 평가군 구성 · 순위 · s(n) · z · 보정점수 · 제7호 조정. 실무자는 여기서만 작업한다.</t>
        </is>
      </c>
    </row>
    <row r="32" ht="40" customHeight="1">
      <c r="A32" s="11" t="inlineStr">
        <is>
          <t>종합점수·등급</t>
        </is>
      </c>
      <c r="B32" s="12" t="inlineStr">
        <is>
          <t>1차·2차 보정점수와 다면·공통을 합산한 종합점수, 직급별 등급(최대잔여법)과 평정점([별표 7]).</t>
        </is>
      </c>
    </row>
    <row r="33" ht="40" customHeight="1">
      <c r="A33" s="11" t="inlineStr">
        <is>
          <t>s(n) 표</t>
        </is>
      </c>
      <c r="B33" s="12" t="inlineStr">
        <is>
          <t>n = 2~40 의 z값과 그 표준편차를 NORM.S.INV · STDEVP 로 계산한다. 「s(n) 표는 어디서 나왔는가」에 대한 답.</t>
        </is>
      </c>
    </row>
    <row r="34" ht="40" customHeight="1">
      <c r="A34" s="11" t="inlineStr">
        <is>
          <t>검증</t>
        </is>
      </c>
      <c r="B34" s="12" t="inlineStr">
        <is>
          <t>★ 사측 설득의 핵심. 평균 80·표준편차 7 달성, ÷s(n) 없을 때의 미달, 조정 합계 0, 순위 보존, 절단 0건, 정원 합계를 PASS/FAIL로 자동 판정한다.</t>
        </is>
      </c>
    </row>
    <row r="35" ht="40" customHeight="1">
      <c r="A35" s="11" t="inlineStr">
        <is>
          <t>예제</t>
        </is>
      </c>
      <c r="B35" s="12" t="inlineStr">
        <is>
          <t>예제 A(극단 성향) · B(제5호) · C(균등 성향)를 수식으로 재현한다.</t>
        </is>
      </c>
    </row>
    <row r="36" ht="40" customHeight="1">
      <c r="A36" s="11" t="inlineStr">
        <is>
          <t>MIS 요구사항</t>
        </is>
      </c>
      <c r="B36" s="12" t="inlineStr">
        <is>
          <t>내부경영정보시스템 근무평정 모듈에 요청할 기능 명세(화면·입력·계산·검증·출력·권한).</t>
        </is>
      </c>
    </row>
    <row r="37" ht="40" customHeight="1">
      <c r="A37" s="11" t="inlineStr">
        <is>
          <t>근거 조문</t>
        </is>
      </c>
      <c r="B37" s="12" t="inlineStr">
        <is>
          <t>각 계산이 개정안의 어느 조문에 대응하는지 정리한 표.</t>
        </is>
      </c>
    </row>
    <row r="39">
      <c r="A39" s="2" t="inlineStr">
        <is>
          <t>산식 요약 — [별표 9] 제3호</t>
        </is>
      </c>
    </row>
    <row r="40">
      <c r="A40" s="13" t="inlineStr">
        <is>
          <t>z = Φ⁻¹( (r − 0.375) ÷ (n + 0.25) )        보정점수 = 80 + 7 × z ÷ s(n)</t>
        </is>
      </c>
    </row>
    <row r="41" ht="46" customHeight="1">
      <c r="A41" s="4" t="inlineStr">
        <is>
          <t>r = 평가군 내 순위(최저점자 1위 · 최고점자 n위) · n = 평가군 인원 · s(n) = 인원 n일 때 z값들의 표준편차(17명 이상은 1). 60점 미만은 60점, 100점 초과는 100점으로 하고 소수점 셋째자리에서 반올림한다. 엑셀에서는 =ROUND(MEDIAN(60,80+7*NORM.S.INV((r-0.375)/(n+0.25))/s,100),3) 이다.</t>
        </is>
      </c>
    </row>
    <row r="42">
      <c r="A42" s="2" t="inlineStr">
        <is>
          <t>조합이 먼저 밝히는 논점</t>
        </is>
      </c>
    </row>
    <row r="43" ht="74" customHeight="1">
      <c r="A43" s="4" t="inlineStr">
        <is>
          <t>제3호 후단의 「17명 이상은 s(n) = 1로 본다」를 그대로 적용하면 17명 이상 평가군의 표준편차가 7.00에 미달한다(n=17 → 6.51 · n=30 → 6.70 · n=40 → 6.76). 1차 평가군(부서 단위 3~16명)은 영향이 없으나 2차 평가군(본부 단위)은 통상 17명 이상이므로 영향을 받는다. 이 계산서는 규정 문언대로 구현하고 그 결과를 ⑤ 검증 시트 1-2절에 수치로 드러내 두었다. 해소하려면 제3호 후단을 삭제하고 s(n) 표를 인원 구간 전체로 확대하면 되며, ④ 시트가 이미 n = 40까지 계산해 두었다.</t>
        </is>
      </c>
    </row>
  </sheetData>
  <mergeCells count="22">
    <mergeCell ref="A41:F41"/>
    <mergeCell ref="C23:F23"/>
    <mergeCell ref="B31:F31"/>
    <mergeCell ref="C19:F19"/>
    <mergeCell ref="A5:F5"/>
    <mergeCell ref="A8:F8"/>
    <mergeCell ref="A4:F4"/>
    <mergeCell ref="C24:F24"/>
    <mergeCell ref="A43:F43"/>
    <mergeCell ref="B34:F34"/>
    <mergeCell ref="C20:F20"/>
    <mergeCell ref="C26:F26"/>
    <mergeCell ref="A9:F9"/>
    <mergeCell ref="B37:F37"/>
    <mergeCell ref="C25:F25"/>
    <mergeCell ref="C22:F22"/>
    <mergeCell ref="B30:F30"/>
    <mergeCell ref="B33:F33"/>
    <mergeCell ref="C21:F21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20" customWidth="1" min="42" max="42"/>
    <col width="20" customWidth="1" min="43" max="43"/>
    <col width="18" customWidth="1" min="44" max="44"/>
    <col width="20" customWidth="1" min="45" max="45"/>
  </cols>
  <sheetData>
    <row r="1">
      <c r="A1" s="14" t="inlineStr">
        <is>
          <t>④ s(n) 표 — 인원 n일 때 Blom z값들의 표준편차</t>
        </is>
      </c>
    </row>
    <row r="2">
      <c r="A2" s="15" t="inlineStr">
        <is>
          <t>[별표 9] 제3호의 s(n)이다. z가 곧 정규 순서통계량 근사값이므로 s(n)은 그 모표준편차(STDEVP)다. s(n)은 해당 평가군 z값들의 표준편차(=STDEVP)다. 인원이 많아도 1로 보지 아니한다.</t>
        </is>
      </c>
    </row>
    <row r="3">
      <c r="A3" s="15" t="inlineStr">
        <is>
          <t>각 셀은 =NORM.S.INV((i−0.375)/(n+0.25)) 이다. 값을 적어 둔 것이 아니라 수식으로 계산한다.</t>
        </is>
      </c>
    </row>
    <row r="4">
      <c r="A4" s="10" t="inlineStr">
        <is>
          <t>n</t>
        </is>
      </c>
      <c r="B4" s="10" t="n">
        <v>1</v>
      </c>
      <c r="C4" s="10" t="n">
        <v>2</v>
      </c>
      <c r="D4" s="10" t="n">
        <v>3</v>
      </c>
      <c r="E4" s="10" t="n">
        <v>4</v>
      </c>
      <c r="F4" s="10" t="n">
        <v>5</v>
      </c>
      <c r="G4" s="10" t="n">
        <v>6</v>
      </c>
      <c r="H4" s="10" t="n">
        <v>7</v>
      </c>
      <c r="I4" s="10" t="n">
        <v>8</v>
      </c>
      <c r="J4" s="10" t="n">
        <v>9</v>
      </c>
      <c r="K4" s="10" t="n">
        <v>10</v>
      </c>
      <c r="L4" s="10" t="n">
        <v>11</v>
      </c>
      <c r="M4" s="10" t="n">
        <v>12</v>
      </c>
      <c r="N4" s="10" t="n">
        <v>13</v>
      </c>
      <c r="O4" s="10" t="n">
        <v>14</v>
      </c>
      <c r="P4" s="10" t="n">
        <v>15</v>
      </c>
      <c r="Q4" s="10" t="n">
        <v>16</v>
      </c>
      <c r="R4" s="10" t="n">
        <v>17</v>
      </c>
      <c r="S4" s="10" t="n">
        <v>18</v>
      </c>
      <c r="T4" s="10" t="n">
        <v>19</v>
      </c>
      <c r="U4" s="10" t="n">
        <v>20</v>
      </c>
      <c r="V4" s="10" t="n">
        <v>21</v>
      </c>
      <c r="W4" s="10" t="n">
        <v>22</v>
      </c>
      <c r="X4" s="10" t="n">
        <v>23</v>
      </c>
      <c r="Y4" s="10" t="n">
        <v>24</v>
      </c>
      <c r="Z4" s="10" t="n">
        <v>25</v>
      </c>
      <c r="AA4" s="10" t="n">
        <v>26</v>
      </c>
      <c r="AB4" s="10" t="n">
        <v>27</v>
      </c>
      <c r="AC4" s="10" t="n">
        <v>28</v>
      </c>
      <c r="AD4" s="10" t="n">
        <v>29</v>
      </c>
      <c r="AE4" s="10" t="n">
        <v>30</v>
      </c>
      <c r="AF4" s="10" t="n">
        <v>31</v>
      </c>
      <c r="AG4" s="10" t="n">
        <v>32</v>
      </c>
      <c r="AH4" s="10" t="n">
        <v>33</v>
      </c>
      <c r="AI4" s="10" t="n">
        <v>34</v>
      </c>
      <c r="AJ4" s="10" t="n">
        <v>35</v>
      </c>
      <c r="AK4" s="10" t="n">
        <v>36</v>
      </c>
      <c r="AL4" s="10" t="n">
        <v>37</v>
      </c>
      <c r="AM4" s="10" t="n">
        <v>38</v>
      </c>
      <c r="AN4" s="10" t="n">
        <v>39</v>
      </c>
      <c r="AO4" s="10" t="n">
        <v>40</v>
      </c>
      <c r="AP4" s="10" t="inlineStr">
        <is>
          <t>s(n) 계산값 = STDEVP</t>
        </is>
      </c>
      <c r="AQ4" s="10" t="inlineStr">
        <is>
          <t>규정 적용값</t>
        </is>
      </c>
      <c r="AR4" s="10" t="inlineStr">
        <is>
          <t>[별표 9] 표 참고값</t>
        </is>
      </c>
      <c r="AS4" s="10" t="inlineStr">
        <is>
          <t>일치 판정</t>
        </is>
      </c>
    </row>
    <row r="5">
      <c r="A5" s="16" t="n">
        <v>2</v>
      </c>
      <c r="B5" s="17">
        <f>IF(B$4&lt;=$A5,NORM.S.INV((B$4-0.375)/($A5+0.25)),"")</f>
        <v/>
      </c>
      <c r="C5" s="17">
        <f>IF(C$4&lt;=$A5,NORM.S.INV((C$4-0.375)/($A5+0.25)),"")</f>
        <v/>
      </c>
      <c r="D5" s="17">
        <f>IF(D$4&lt;=$A5,NORM.S.INV((D$4-0.375)/($A5+0.25)),"")</f>
        <v/>
      </c>
      <c r="E5" s="17">
        <f>IF(E$4&lt;=$A5,NORM.S.INV((E$4-0.375)/($A5+0.25)),"")</f>
        <v/>
      </c>
      <c r="F5" s="17">
        <f>IF(F$4&lt;=$A5,NORM.S.INV((F$4-0.375)/($A5+0.25)),"")</f>
        <v/>
      </c>
      <c r="G5" s="17">
        <f>IF(G$4&lt;=$A5,NORM.S.INV((G$4-0.375)/($A5+0.25)),"")</f>
        <v/>
      </c>
      <c r="H5" s="17">
        <f>IF(H$4&lt;=$A5,NORM.S.INV((H$4-0.375)/($A5+0.25)),"")</f>
        <v/>
      </c>
      <c r="I5" s="17">
        <f>IF(I$4&lt;=$A5,NORM.S.INV((I$4-0.375)/($A5+0.25)),"")</f>
        <v/>
      </c>
      <c r="J5" s="17">
        <f>IF(J$4&lt;=$A5,NORM.S.INV((J$4-0.375)/($A5+0.25)),"")</f>
        <v/>
      </c>
      <c r="K5" s="17">
        <f>IF(K$4&lt;=$A5,NORM.S.INV((K$4-0.375)/($A5+0.25)),"")</f>
        <v/>
      </c>
      <c r="L5" s="17">
        <f>IF(L$4&lt;=$A5,NORM.S.INV((L$4-0.375)/($A5+0.25)),"")</f>
        <v/>
      </c>
      <c r="M5" s="17">
        <f>IF(M$4&lt;=$A5,NORM.S.INV((M$4-0.375)/($A5+0.25)),"")</f>
        <v/>
      </c>
      <c r="N5" s="17">
        <f>IF(N$4&lt;=$A5,NORM.S.INV((N$4-0.375)/($A5+0.25)),"")</f>
        <v/>
      </c>
      <c r="O5" s="17">
        <f>IF(O$4&lt;=$A5,NORM.S.INV((O$4-0.375)/($A5+0.25)),"")</f>
        <v/>
      </c>
      <c r="P5" s="17">
        <f>IF(P$4&lt;=$A5,NORM.S.INV((P$4-0.375)/($A5+0.25)),"")</f>
        <v/>
      </c>
      <c r="Q5" s="17">
        <f>IF(Q$4&lt;=$A5,NORM.S.INV((Q$4-0.375)/($A5+0.25)),"")</f>
        <v/>
      </c>
      <c r="R5" s="17">
        <f>IF(R$4&lt;=$A5,NORM.S.INV((R$4-0.375)/($A5+0.25)),"")</f>
        <v/>
      </c>
      <c r="S5" s="17">
        <f>IF(S$4&lt;=$A5,NORM.S.INV((S$4-0.375)/($A5+0.25)),"")</f>
        <v/>
      </c>
      <c r="T5" s="17">
        <f>IF(T$4&lt;=$A5,NORM.S.INV((T$4-0.375)/($A5+0.25)),"")</f>
        <v/>
      </c>
      <c r="U5" s="17">
        <f>IF(U$4&lt;=$A5,NORM.S.INV((U$4-0.375)/($A5+0.25)),"")</f>
        <v/>
      </c>
      <c r="V5" s="17">
        <f>IF(V$4&lt;=$A5,NORM.S.INV((V$4-0.375)/($A5+0.25)),"")</f>
        <v/>
      </c>
      <c r="W5" s="17">
        <f>IF(W$4&lt;=$A5,NORM.S.INV((W$4-0.375)/($A5+0.25)),"")</f>
        <v/>
      </c>
      <c r="X5" s="17">
        <f>IF(X$4&lt;=$A5,NORM.S.INV((X$4-0.375)/($A5+0.25)),"")</f>
        <v/>
      </c>
      <c r="Y5" s="17">
        <f>IF(Y$4&lt;=$A5,NORM.S.INV((Y$4-0.375)/($A5+0.25)),"")</f>
        <v/>
      </c>
      <c r="Z5" s="17">
        <f>IF(Z$4&lt;=$A5,NORM.S.INV((Z$4-0.375)/($A5+0.25)),"")</f>
        <v/>
      </c>
      <c r="AA5" s="17">
        <f>IF(AA$4&lt;=$A5,NORM.S.INV((AA$4-0.375)/($A5+0.25)),"")</f>
        <v/>
      </c>
      <c r="AB5" s="17">
        <f>IF(AB$4&lt;=$A5,NORM.S.INV((AB$4-0.375)/($A5+0.25)),"")</f>
        <v/>
      </c>
      <c r="AC5" s="17">
        <f>IF(AC$4&lt;=$A5,NORM.S.INV((AC$4-0.375)/($A5+0.25)),"")</f>
        <v/>
      </c>
      <c r="AD5" s="17">
        <f>IF(AD$4&lt;=$A5,NORM.S.INV((AD$4-0.375)/($A5+0.25)),"")</f>
        <v/>
      </c>
      <c r="AE5" s="17">
        <f>IF(AE$4&lt;=$A5,NORM.S.INV((AE$4-0.375)/($A5+0.25)),"")</f>
        <v/>
      </c>
      <c r="AF5" s="17">
        <f>IF(AF$4&lt;=$A5,NORM.S.INV((AF$4-0.375)/($A5+0.25)),"")</f>
        <v/>
      </c>
      <c r="AG5" s="17">
        <f>IF(AG$4&lt;=$A5,NORM.S.INV((AG$4-0.375)/($A5+0.25)),"")</f>
        <v/>
      </c>
      <c r="AH5" s="17">
        <f>IF(AH$4&lt;=$A5,NORM.S.INV((AH$4-0.375)/($A5+0.25)),"")</f>
        <v/>
      </c>
      <c r="AI5" s="17">
        <f>IF(AI$4&lt;=$A5,NORM.S.INV((AI$4-0.375)/($A5+0.25)),"")</f>
        <v/>
      </c>
      <c r="AJ5" s="17">
        <f>IF(AJ$4&lt;=$A5,NORM.S.INV((AJ$4-0.375)/($A5+0.25)),"")</f>
        <v/>
      </c>
      <c r="AK5" s="17">
        <f>IF(AK$4&lt;=$A5,NORM.S.INV((AK$4-0.375)/($A5+0.25)),"")</f>
        <v/>
      </c>
      <c r="AL5" s="17">
        <f>IF(AL$4&lt;=$A5,NORM.S.INV((AL$4-0.375)/($A5+0.25)),"")</f>
        <v/>
      </c>
      <c r="AM5" s="17">
        <f>IF(AM$4&lt;=$A5,NORM.S.INV((AM$4-0.375)/($A5+0.25)),"")</f>
        <v/>
      </c>
      <c r="AN5" s="17">
        <f>IF(AN$4&lt;=$A5,NORM.S.INV((AN$4-0.375)/($A5+0.25)),"")</f>
        <v/>
      </c>
      <c r="AO5" s="17">
        <f>IF(AO$4&lt;=$A5,NORM.S.INV((AO$4-0.375)/($A5+0.25)),"")</f>
        <v/>
      </c>
      <c r="AP5" s="18">
        <f>STDEVP($B5:$AO5)</f>
        <v/>
      </c>
      <c r="AQ5" s="17">
        <f>AP5</f>
        <v/>
      </c>
      <c r="AR5" s="17" t="n">
        <v>0.5895</v>
      </c>
      <c r="AS5" s="19">
        <f>IF(ROUND(AP5,4)=AR5,"PASS","FAIL")</f>
        <v/>
      </c>
    </row>
    <row r="6">
      <c r="A6" s="16" t="n">
        <v>3</v>
      </c>
      <c r="B6" s="17">
        <f>IF(B$4&lt;=$A6,NORM.S.INV((B$4-0.375)/($A6+0.25)),"")</f>
        <v/>
      </c>
      <c r="C6" s="17">
        <f>IF(C$4&lt;=$A6,NORM.S.INV((C$4-0.375)/($A6+0.25)),"")</f>
        <v/>
      </c>
      <c r="D6" s="17">
        <f>IF(D$4&lt;=$A6,NORM.S.INV((D$4-0.375)/($A6+0.25)),"")</f>
        <v/>
      </c>
      <c r="E6" s="17">
        <f>IF(E$4&lt;=$A6,NORM.S.INV((E$4-0.375)/($A6+0.25)),"")</f>
        <v/>
      </c>
      <c r="F6" s="17">
        <f>IF(F$4&lt;=$A6,NORM.S.INV((F$4-0.375)/($A6+0.25)),"")</f>
        <v/>
      </c>
      <c r="G6" s="17">
        <f>IF(G$4&lt;=$A6,NORM.S.INV((G$4-0.375)/($A6+0.25)),"")</f>
        <v/>
      </c>
      <c r="H6" s="17">
        <f>IF(H$4&lt;=$A6,NORM.S.INV((H$4-0.375)/($A6+0.25)),"")</f>
        <v/>
      </c>
      <c r="I6" s="17">
        <f>IF(I$4&lt;=$A6,NORM.S.INV((I$4-0.375)/($A6+0.25)),"")</f>
        <v/>
      </c>
      <c r="J6" s="17">
        <f>IF(J$4&lt;=$A6,NORM.S.INV((J$4-0.375)/($A6+0.25)),"")</f>
        <v/>
      </c>
      <c r="K6" s="17">
        <f>IF(K$4&lt;=$A6,NORM.S.INV((K$4-0.375)/($A6+0.25)),"")</f>
        <v/>
      </c>
      <c r="L6" s="17">
        <f>IF(L$4&lt;=$A6,NORM.S.INV((L$4-0.375)/($A6+0.25)),"")</f>
        <v/>
      </c>
      <c r="M6" s="17">
        <f>IF(M$4&lt;=$A6,NORM.S.INV((M$4-0.375)/($A6+0.25)),"")</f>
        <v/>
      </c>
      <c r="N6" s="17">
        <f>IF(N$4&lt;=$A6,NORM.S.INV((N$4-0.375)/($A6+0.25)),"")</f>
        <v/>
      </c>
      <c r="O6" s="17">
        <f>IF(O$4&lt;=$A6,NORM.S.INV((O$4-0.375)/($A6+0.25)),"")</f>
        <v/>
      </c>
      <c r="P6" s="17">
        <f>IF(P$4&lt;=$A6,NORM.S.INV((P$4-0.375)/($A6+0.25)),"")</f>
        <v/>
      </c>
      <c r="Q6" s="17">
        <f>IF(Q$4&lt;=$A6,NORM.S.INV((Q$4-0.375)/($A6+0.25)),"")</f>
        <v/>
      </c>
      <c r="R6" s="17">
        <f>IF(R$4&lt;=$A6,NORM.S.INV((R$4-0.375)/($A6+0.25)),"")</f>
        <v/>
      </c>
      <c r="S6" s="17">
        <f>IF(S$4&lt;=$A6,NORM.S.INV((S$4-0.375)/($A6+0.25)),"")</f>
        <v/>
      </c>
      <c r="T6" s="17">
        <f>IF(T$4&lt;=$A6,NORM.S.INV((T$4-0.375)/($A6+0.25)),"")</f>
        <v/>
      </c>
      <c r="U6" s="17">
        <f>IF(U$4&lt;=$A6,NORM.S.INV((U$4-0.375)/($A6+0.25)),"")</f>
        <v/>
      </c>
      <c r="V6" s="17">
        <f>IF(V$4&lt;=$A6,NORM.S.INV((V$4-0.375)/($A6+0.25)),"")</f>
        <v/>
      </c>
      <c r="W6" s="17">
        <f>IF(W$4&lt;=$A6,NORM.S.INV((W$4-0.375)/($A6+0.25)),"")</f>
        <v/>
      </c>
      <c r="X6" s="17">
        <f>IF(X$4&lt;=$A6,NORM.S.INV((X$4-0.375)/($A6+0.25)),"")</f>
        <v/>
      </c>
      <c r="Y6" s="17">
        <f>IF(Y$4&lt;=$A6,NORM.S.INV((Y$4-0.375)/($A6+0.25)),"")</f>
        <v/>
      </c>
      <c r="Z6" s="17">
        <f>IF(Z$4&lt;=$A6,NORM.S.INV((Z$4-0.375)/($A6+0.25)),"")</f>
        <v/>
      </c>
      <c r="AA6" s="17">
        <f>IF(AA$4&lt;=$A6,NORM.S.INV((AA$4-0.375)/($A6+0.25)),"")</f>
        <v/>
      </c>
      <c r="AB6" s="17">
        <f>IF(AB$4&lt;=$A6,NORM.S.INV((AB$4-0.375)/($A6+0.25)),"")</f>
        <v/>
      </c>
      <c r="AC6" s="17">
        <f>IF(AC$4&lt;=$A6,NORM.S.INV((AC$4-0.375)/($A6+0.25)),"")</f>
        <v/>
      </c>
      <c r="AD6" s="17">
        <f>IF(AD$4&lt;=$A6,NORM.S.INV((AD$4-0.375)/($A6+0.25)),"")</f>
        <v/>
      </c>
      <c r="AE6" s="17">
        <f>IF(AE$4&lt;=$A6,NORM.S.INV((AE$4-0.375)/($A6+0.25)),"")</f>
        <v/>
      </c>
      <c r="AF6" s="17">
        <f>IF(AF$4&lt;=$A6,NORM.S.INV((AF$4-0.375)/($A6+0.25)),"")</f>
        <v/>
      </c>
      <c r="AG6" s="17">
        <f>IF(AG$4&lt;=$A6,NORM.S.INV((AG$4-0.375)/($A6+0.25)),"")</f>
        <v/>
      </c>
      <c r="AH6" s="17">
        <f>IF(AH$4&lt;=$A6,NORM.S.INV((AH$4-0.375)/($A6+0.25)),"")</f>
        <v/>
      </c>
      <c r="AI6" s="17">
        <f>IF(AI$4&lt;=$A6,NORM.S.INV((AI$4-0.375)/($A6+0.25)),"")</f>
        <v/>
      </c>
      <c r="AJ6" s="17">
        <f>IF(AJ$4&lt;=$A6,NORM.S.INV((AJ$4-0.375)/($A6+0.25)),"")</f>
        <v/>
      </c>
      <c r="AK6" s="17">
        <f>IF(AK$4&lt;=$A6,NORM.S.INV((AK$4-0.375)/($A6+0.25)),"")</f>
        <v/>
      </c>
      <c r="AL6" s="17">
        <f>IF(AL$4&lt;=$A6,NORM.S.INV((AL$4-0.375)/($A6+0.25)),"")</f>
        <v/>
      </c>
      <c r="AM6" s="17">
        <f>IF(AM$4&lt;=$A6,NORM.S.INV((AM$4-0.375)/($A6+0.25)),"")</f>
        <v/>
      </c>
      <c r="AN6" s="17">
        <f>IF(AN$4&lt;=$A6,NORM.S.INV((AN$4-0.375)/($A6+0.25)),"")</f>
        <v/>
      </c>
      <c r="AO6" s="17">
        <f>IF(AO$4&lt;=$A6,NORM.S.INV((AO$4-0.375)/($A6+0.25)),"")</f>
        <v/>
      </c>
      <c r="AP6" s="18">
        <f>STDEVP($B6:$AO6)</f>
        <v/>
      </c>
      <c r="AQ6" s="17">
        <f>AP6</f>
        <v/>
      </c>
      <c r="AR6" s="17" t="n">
        <v>0.7099</v>
      </c>
      <c r="AS6" s="19">
        <f>IF(ROUND(AP6,4)=AR6,"PASS","FAIL")</f>
        <v/>
      </c>
    </row>
    <row r="7">
      <c r="A7" s="16" t="n">
        <v>4</v>
      </c>
      <c r="B7" s="17">
        <f>IF(B$4&lt;=$A7,NORM.S.INV((B$4-0.375)/($A7+0.25)),"")</f>
        <v/>
      </c>
      <c r="C7" s="17">
        <f>IF(C$4&lt;=$A7,NORM.S.INV((C$4-0.375)/($A7+0.25)),"")</f>
        <v/>
      </c>
      <c r="D7" s="17">
        <f>IF(D$4&lt;=$A7,NORM.S.INV((D$4-0.375)/($A7+0.25)),"")</f>
        <v/>
      </c>
      <c r="E7" s="17">
        <f>IF(E$4&lt;=$A7,NORM.S.INV((E$4-0.375)/($A7+0.25)),"")</f>
        <v/>
      </c>
      <c r="F7" s="17">
        <f>IF(F$4&lt;=$A7,NORM.S.INV((F$4-0.375)/($A7+0.25)),"")</f>
        <v/>
      </c>
      <c r="G7" s="17">
        <f>IF(G$4&lt;=$A7,NORM.S.INV((G$4-0.375)/($A7+0.25)),"")</f>
        <v/>
      </c>
      <c r="H7" s="17">
        <f>IF(H$4&lt;=$A7,NORM.S.INV((H$4-0.375)/($A7+0.25)),"")</f>
        <v/>
      </c>
      <c r="I7" s="17">
        <f>IF(I$4&lt;=$A7,NORM.S.INV((I$4-0.375)/($A7+0.25)),"")</f>
        <v/>
      </c>
      <c r="J7" s="17">
        <f>IF(J$4&lt;=$A7,NORM.S.INV((J$4-0.375)/($A7+0.25)),"")</f>
        <v/>
      </c>
      <c r="K7" s="17">
        <f>IF(K$4&lt;=$A7,NORM.S.INV((K$4-0.375)/($A7+0.25)),"")</f>
        <v/>
      </c>
      <c r="L7" s="17">
        <f>IF(L$4&lt;=$A7,NORM.S.INV((L$4-0.375)/($A7+0.25)),"")</f>
        <v/>
      </c>
      <c r="M7" s="17">
        <f>IF(M$4&lt;=$A7,NORM.S.INV((M$4-0.375)/($A7+0.25)),"")</f>
        <v/>
      </c>
      <c r="N7" s="17">
        <f>IF(N$4&lt;=$A7,NORM.S.INV((N$4-0.375)/($A7+0.25)),"")</f>
        <v/>
      </c>
      <c r="O7" s="17">
        <f>IF(O$4&lt;=$A7,NORM.S.INV((O$4-0.375)/($A7+0.25)),"")</f>
        <v/>
      </c>
      <c r="P7" s="17">
        <f>IF(P$4&lt;=$A7,NORM.S.INV((P$4-0.375)/($A7+0.25)),"")</f>
        <v/>
      </c>
      <c r="Q7" s="17">
        <f>IF(Q$4&lt;=$A7,NORM.S.INV((Q$4-0.375)/($A7+0.25)),"")</f>
        <v/>
      </c>
      <c r="R7" s="17">
        <f>IF(R$4&lt;=$A7,NORM.S.INV((R$4-0.375)/($A7+0.25)),"")</f>
        <v/>
      </c>
      <c r="S7" s="17">
        <f>IF(S$4&lt;=$A7,NORM.S.INV((S$4-0.375)/($A7+0.25)),"")</f>
        <v/>
      </c>
      <c r="T7" s="17">
        <f>IF(T$4&lt;=$A7,NORM.S.INV((T$4-0.375)/($A7+0.25)),"")</f>
        <v/>
      </c>
      <c r="U7" s="17">
        <f>IF(U$4&lt;=$A7,NORM.S.INV((U$4-0.375)/($A7+0.25)),"")</f>
        <v/>
      </c>
      <c r="V7" s="17">
        <f>IF(V$4&lt;=$A7,NORM.S.INV((V$4-0.375)/($A7+0.25)),"")</f>
        <v/>
      </c>
      <c r="W7" s="17">
        <f>IF(W$4&lt;=$A7,NORM.S.INV((W$4-0.375)/($A7+0.25)),"")</f>
        <v/>
      </c>
      <c r="X7" s="17">
        <f>IF(X$4&lt;=$A7,NORM.S.INV((X$4-0.375)/($A7+0.25)),"")</f>
        <v/>
      </c>
      <c r="Y7" s="17">
        <f>IF(Y$4&lt;=$A7,NORM.S.INV((Y$4-0.375)/($A7+0.25)),"")</f>
        <v/>
      </c>
      <c r="Z7" s="17">
        <f>IF(Z$4&lt;=$A7,NORM.S.INV((Z$4-0.375)/($A7+0.25)),"")</f>
        <v/>
      </c>
      <c r="AA7" s="17">
        <f>IF(AA$4&lt;=$A7,NORM.S.INV((AA$4-0.375)/($A7+0.25)),"")</f>
        <v/>
      </c>
      <c r="AB7" s="17">
        <f>IF(AB$4&lt;=$A7,NORM.S.INV((AB$4-0.375)/($A7+0.25)),"")</f>
        <v/>
      </c>
      <c r="AC7" s="17">
        <f>IF(AC$4&lt;=$A7,NORM.S.INV((AC$4-0.375)/($A7+0.25)),"")</f>
        <v/>
      </c>
      <c r="AD7" s="17">
        <f>IF(AD$4&lt;=$A7,NORM.S.INV((AD$4-0.375)/($A7+0.25)),"")</f>
        <v/>
      </c>
      <c r="AE7" s="17">
        <f>IF(AE$4&lt;=$A7,NORM.S.INV((AE$4-0.375)/($A7+0.25)),"")</f>
        <v/>
      </c>
      <c r="AF7" s="17">
        <f>IF(AF$4&lt;=$A7,NORM.S.INV((AF$4-0.375)/($A7+0.25)),"")</f>
        <v/>
      </c>
      <c r="AG7" s="17">
        <f>IF(AG$4&lt;=$A7,NORM.S.INV((AG$4-0.375)/($A7+0.25)),"")</f>
        <v/>
      </c>
      <c r="AH7" s="17">
        <f>IF(AH$4&lt;=$A7,NORM.S.INV((AH$4-0.375)/($A7+0.25)),"")</f>
        <v/>
      </c>
      <c r="AI7" s="17">
        <f>IF(AI$4&lt;=$A7,NORM.S.INV((AI$4-0.375)/($A7+0.25)),"")</f>
        <v/>
      </c>
      <c r="AJ7" s="17">
        <f>IF(AJ$4&lt;=$A7,NORM.S.INV((AJ$4-0.375)/($A7+0.25)),"")</f>
        <v/>
      </c>
      <c r="AK7" s="17">
        <f>IF(AK$4&lt;=$A7,NORM.S.INV((AK$4-0.375)/($A7+0.25)),"")</f>
        <v/>
      </c>
      <c r="AL7" s="17">
        <f>IF(AL$4&lt;=$A7,NORM.S.INV((AL$4-0.375)/($A7+0.25)),"")</f>
        <v/>
      </c>
      <c r="AM7" s="17">
        <f>IF(AM$4&lt;=$A7,NORM.S.INV((AM$4-0.375)/($A7+0.25)),"")</f>
        <v/>
      </c>
      <c r="AN7" s="17">
        <f>IF(AN$4&lt;=$A7,NORM.S.INV((AN$4-0.375)/($A7+0.25)),"")</f>
        <v/>
      </c>
      <c r="AO7" s="17">
        <f>IF(AO$4&lt;=$A7,NORM.S.INV((AO$4-0.375)/($A7+0.25)),"")</f>
        <v/>
      </c>
      <c r="AP7" s="18">
        <f>STDEVP($B7:$AO7)</f>
        <v/>
      </c>
      <c r="AQ7" s="17">
        <f>AP7</f>
        <v/>
      </c>
      <c r="AR7" s="17" t="n">
        <v>0.7714</v>
      </c>
      <c r="AS7" s="19">
        <f>IF(ROUND(AP7,4)=AR7,"PASS","FAIL")</f>
        <v/>
      </c>
    </row>
    <row r="8">
      <c r="A8" s="16" t="n">
        <v>5</v>
      </c>
      <c r="B8" s="17">
        <f>IF(B$4&lt;=$A8,NORM.S.INV((B$4-0.375)/($A8+0.25)),"")</f>
        <v/>
      </c>
      <c r="C8" s="17">
        <f>IF(C$4&lt;=$A8,NORM.S.INV((C$4-0.375)/($A8+0.25)),"")</f>
        <v/>
      </c>
      <c r="D8" s="17">
        <f>IF(D$4&lt;=$A8,NORM.S.INV((D$4-0.375)/($A8+0.25)),"")</f>
        <v/>
      </c>
      <c r="E8" s="17">
        <f>IF(E$4&lt;=$A8,NORM.S.INV((E$4-0.375)/($A8+0.25)),"")</f>
        <v/>
      </c>
      <c r="F8" s="17">
        <f>IF(F$4&lt;=$A8,NORM.S.INV((F$4-0.375)/($A8+0.25)),"")</f>
        <v/>
      </c>
      <c r="G8" s="17">
        <f>IF(G$4&lt;=$A8,NORM.S.INV((G$4-0.375)/($A8+0.25)),"")</f>
        <v/>
      </c>
      <c r="H8" s="17">
        <f>IF(H$4&lt;=$A8,NORM.S.INV((H$4-0.375)/($A8+0.25)),"")</f>
        <v/>
      </c>
      <c r="I8" s="17">
        <f>IF(I$4&lt;=$A8,NORM.S.INV((I$4-0.375)/($A8+0.25)),"")</f>
        <v/>
      </c>
      <c r="J8" s="17">
        <f>IF(J$4&lt;=$A8,NORM.S.INV((J$4-0.375)/($A8+0.25)),"")</f>
        <v/>
      </c>
      <c r="K8" s="17">
        <f>IF(K$4&lt;=$A8,NORM.S.INV((K$4-0.375)/($A8+0.25)),"")</f>
        <v/>
      </c>
      <c r="L8" s="17">
        <f>IF(L$4&lt;=$A8,NORM.S.INV((L$4-0.375)/($A8+0.25)),"")</f>
        <v/>
      </c>
      <c r="M8" s="17">
        <f>IF(M$4&lt;=$A8,NORM.S.INV((M$4-0.375)/($A8+0.25)),"")</f>
        <v/>
      </c>
      <c r="N8" s="17">
        <f>IF(N$4&lt;=$A8,NORM.S.INV((N$4-0.375)/($A8+0.25)),"")</f>
        <v/>
      </c>
      <c r="O8" s="17">
        <f>IF(O$4&lt;=$A8,NORM.S.INV((O$4-0.375)/($A8+0.25)),"")</f>
        <v/>
      </c>
      <c r="P8" s="17">
        <f>IF(P$4&lt;=$A8,NORM.S.INV((P$4-0.375)/($A8+0.25)),"")</f>
        <v/>
      </c>
      <c r="Q8" s="17">
        <f>IF(Q$4&lt;=$A8,NORM.S.INV((Q$4-0.375)/($A8+0.25)),"")</f>
        <v/>
      </c>
      <c r="R8" s="17">
        <f>IF(R$4&lt;=$A8,NORM.S.INV((R$4-0.375)/($A8+0.25)),"")</f>
        <v/>
      </c>
      <c r="S8" s="17">
        <f>IF(S$4&lt;=$A8,NORM.S.INV((S$4-0.375)/($A8+0.25)),"")</f>
        <v/>
      </c>
      <c r="T8" s="17">
        <f>IF(T$4&lt;=$A8,NORM.S.INV((T$4-0.375)/($A8+0.25)),"")</f>
        <v/>
      </c>
      <c r="U8" s="17">
        <f>IF(U$4&lt;=$A8,NORM.S.INV((U$4-0.375)/($A8+0.25)),"")</f>
        <v/>
      </c>
      <c r="V8" s="17">
        <f>IF(V$4&lt;=$A8,NORM.S.INV((V$4-0.375)/($A8+0.25)),"")</f>
        <v/>
      </c>
      <c r="W8" s="17">
        <f>IF(W$4&lt;=$A8,NORM.S.INV((W$4-0.375)/($A8+0.25)),"")</f>
        <v/>
      </c>
      <c r="X8" s="17">
        <f>IF(X$4&lt;=$A8,NORM.S.INV((X$4-0.375)/($A8+0.25)),"")</f>
        <v/>
      </c>
      <c r="Y8" s="17">
        <f>IF(Y$4&lt;=$A8,NORM.S.INV((Y$4-0.375)/($A8+0.25)),"")</f>
        <v/>
      </c>
      <c r="Z8" s="17">
        <f>IF(Z$4&lt;=$A8,NORM.S.INV((Z$4-0.375)/($A8+0.25)),"")</f>
        <v/>
      </c>
      <c r="AA8" s="17">
        <f>IF(AA$4&lt;=$A8,NORM.S.INV((AA$4-0.375)/($A8+0.25)),"")</f>
        <v/>
      </c>
      <c r="AB8" s="17">
        <f>IF(AB$4&lt;=$A8,NORM.S.INV((AB$4-0.375)/($A8+0.25)),"")</f>
        <v/>
      </c>
      <c r="AC8" s="17">
        <f>IF(AC$4&lt;=$A8,NORM.S.INV((AC$4-0.375)/($A8+0.25)),"")</f>
        <v/>
      </c>
      <c r="AD8" s="17">
        <f>IF(AD$4&lt;=$A8,NORM.S.INV((AD$4-0.375)/($A8+0.25)),"")</f>
        <v/>
      </c>
      <c r="AE8" s="17">
        <f>IF(AE$4&lt;=$A8,NORM.S.INV((AE$4-0.375)/($A8+0.25)),"")</f>
        <v/>
      </c>
      <c r="AF8" s="17">
        <f>IF(AF$4&lt;=$A8,NORM.S.INV((AF$4-0.375)/($A8+0.25)),"")</f>
        <v/>
      </c>
      <c r="AG8" s="17">
        <f>IF(AG$4&lt;=$A8,NORM.S.INV((AG$4-0.375)/($A8+0.25)),"")</f>
        <v/>
      </c>
      <c r="AH8" s="17">
        <f>IF(AH$4&lt;=$A8,NORM.S.INV((AH$4-0.375)/($A8+0.25)),"")</f>
        <v/>
      </c>
      <c r="AI8" s="17">
        <f>IF(AI$4&lt;=$A8,NORM.S.INV((AI$4-0.375)/($A8+0.25)),"")</f>
        <v/>
      </c>
      <c r="AJ8" s="17">
        <f>IF(AJ$4&lt;=$A8,NORM.S.INV((AJ$4-0.375)/($A8+0.25)),"")</f>
        <v/>
      </c>
      <c r="AK8" s="17">
        <f>IF(AK$4&lt;=$A8,NORM.S.INV((AK$4-0.375)/($A8+0.25)),"")</f>
        <v/>
      </c>
      <c r="AL8" s="17">
        <f>IF(AL$4&lt;=$A8,NORM.S.INV((AL$4-0.375)/($A8+0.25)),"")</f>
        <v/>
      </c>
      <c r="AM8" s="17">
        <f>IF(AM$4&lt;=$A8,NORM.S.INV((AM$4-0.375)/($A8+0.25)),"")</f>
        <v/>
      </c>
      <c r="AN8" s="17">
        <f>IF(AN$4&lt;=$A8,NORM.S.INV((AN$4-0.375)/($A8+0.25)),"")</f>
        <v/>
      </c>
      <c r="AO8" s="17">
        <f>IF(AO$4&lt;=$A8,NORM.S.INV((AO$4-0.375)/($A8+0.25)),"")</f>
        <v/>
      </c>
      <c r="AP8" s="18">
        <f>STDEVP($B8:$AO8)</f>
        <v/>
      </c>
      <c r="AQ8" s="17">
        <f>AP8</f>
        <v/>
      </c>
      <c r="AR8" s="17" t="n">
        <v>0.8097</v>
      </c>
      <c r="AS8" s="19">
        <f>IF(ROUND(AP8,4)=AR8,"PASS","FAIL")</f>
        <v/>
      </c>
    </row>
    <row r="9">
      <c r="A9" s="16" t="n">
        <v>6</v>
      </c>
      <c r="B9" s="17">
        <f>IF(B$4&lt;=$A9,NORM.S.INV((B$4-0.375)/($A9+0.25)),"")</f>
        <v/>
      </c>
      <c r="C9" s="17">
        <f>IF(C$4&lt;=$A9,NORM.S.INV((C$4-0.375)/($A9+0.25)),"")</f>
        <v/>
      </c>
      <c r="D9" s="17">
        <f>IF(D$4&lt;=$A9,NORM.S.INV((D$4-0.375)/($A9+0.25)),"")</f>
        <v/>
      </c>
      <c r="E9" s="17">
        <f>IF(E$4&lt;=$A9,NORM.S.INV((E$4-0.375)/($A9+0.25)),"")</f>
        <v/>
      </c>
      <c r="F9" s="17">
        <f>IF(F$4&lt;=$A9,NORM.S.INV((F$4-0.375)/($A9+0.25)),"")</f>
        <v/>
      </c>
      <c r="G9" s="17">
        <f>IF(G$4&lt;=$A9,NORM.S.INV((G$4-0.375)/($A9+0.25)),"")</f>
        <v/>
      </c>
      <c r="H9" s="17">
        <f>IF(H$4&lt;=$A9,NORM.S.INV((H$4-0.375)/($A9+0.25)),"")</f>
        <v/>
      </c>
      <c r="I9" s="17">
        <f>IF(I$4&lt;=$A9,NORM.S.INV((I$4-0.375)/($A9+0.25)),"")</f>
        <v/>
      </c>
      <c r="J9" s="17">
        <f>IF(J$4&lt;=$A9,NORM.S.INV((J$4-0.375)/($A9+0.25)),"")</f>
        <v/>
      </c>
      <c r="K9" s="17">
        <f>IF(K$4&lt;=$A9,NORM.S.INV((K$4-0.375)/($A9+0.25)),"")</f>
        <v/>
      </c>
      <c r="L9" s="17">
        <f>IF(L$4&lt;=$A9,NORM.S.INV((L$4-0.375)/($A9+0.25)),"")</f>
        <v/>
      </c>
      <c r="M9" s="17">
        <f>IF(M$4&lt;=$A9,NORM.S.INV((M$4-0.375)/($A9+0.25)),"")</f>
        <v/>
      </c>
      <c r="N9" s="17">
        <f>IF(N$4&lt;=$A9,NORM.S.INV((N$4-0.375)/($A9+0.25)),"")</f>
        <v/>
      </c>
      <c r="O9" s="17">
        <f>IF(O$4&lt;=$A9,NORM.S.INV((O$4-0.375)/($A9+0.25)),"")</f>
        <v/>
      </c>
      <c r="P9" s="17">
        <f>IF(P$4&lt;=$A9,NORM.S.INV((P$4-0.375)/($A9+0.25)),"")</f>
        <v/>
      </c>
      <c r="Q9" s="17">
        <f>IF(Q$4&lt;=$A9,NORM.S.INV((Q$4-0.375)/($A9+0.25)),"")</f>
        <v/>
      </c>
      <c r="R9" s="17">
        <f>IF(R$4&lt;=$A9,NORM.S.INV((R$4-0.375)/($A9+0.25)),"")</f>
        <v/>
      </c>
      <c r="S9" s="17">
        <f>IF(S$4&lt;=$A9,NORM.S.INV((S$4-0.375)/($A9+0.25)),"")</f>
        <v/>
      </c>
      <c r="T9" s="17">
        <f>IF(T$4&lt;=$A9,NORM.S.INV((T$4-0.375)/($A9+0.25)),"")</f>
        <v/>
      </c>
      <c r="U9" s="17">
        <f>IF(U$4&lt;=$A9,NORM.S.INV((U$4-0.375)/($A9+0.25)),"")</f>
        <v/>
      </c>
      <c r="V9" s="17">
        <f>IF(V$4&lt;=$A9,NORM.S.INV((V$4-0.375)/($A9+0.25)),"")</f>
        <v/>
      </c>
      <c r="W9" s="17">
        <f>IF(W$4&lt;=$A9,NORM.S.INV((W$4-0.375)/($A9+0.25)),"")</f>
        <v/>
      </c>
      <c r="X9" s="17">
        <f>IF(X$4&lt;=$A9,NORM.S.INV((X$4-0.375)/($A9+0.25)),"")</f>
        <v/>
      </c>
      <c r="Y9" s="17">
        <f>IF(Y$4&lt;=$A9,NORM.S.INV((Y$4-0.375)/($A9+0.25)),"")</f>
        <v/>
      </c>
      <c r="Z9" s="17">
        <f>IF(Z$4&lt;=$A9,NORM.S.INV((Z$4-0.375)/($A9+0.25)),"")</f>
        <v/>
      </c>
      <c r="AA9" s="17">
        <f>IF(AA$4&lt;=$A9,NORM.S.INV((AA$4-0.375)/($A9+0.25)),"")</f>
        <v/>
      </c>
      <c r="AB9" s="17">
        <f>IF(AB$4&lt;=$A9,NORM.S.INV((AB$4-0.375)/($A9+0.25)),"")</f>
        <v/>
      </c>
      <c r="AC9" s="17">
        <f>IF(AC$4&lt;=$A9,NORM.S.INV((AC$4-0.375)/($A9+0.25)),"")</f>
        <v/>
      </c>
      <c r="AD9" s="17">
        <f>IF(AD$4&lt;=$A9,NORM.S.INV((AD$4-0.375)/($A9+0.25)),"")</f>
        <v/>
      </c>
      <c r="AE9" s="17">
        <f>IF(AE$4&lt;=$A9,NORM.S.INV((AE$4-0.375)/($A9+0.25)),"")</f>
        <v/>
      </c>
      <c r="AF9" s="17">
        <f>IF(AF$4&lt;=$A9,NORM.S.INV((AF$4-0.375)/($A9+0.25)),"")</f>
        <v/>
      </c>
      <c r="AG9" s="17">
        <f>IF(AG$4&lt;=$A9,NORM.S.INV((AG$4-0.375)/($A9+0.25)),"")</f>
        <v/>
      </c>
      <c r="AH9" s="17">
        <f>IF(AH$4&lt;=$A9,NORM.S.INV((AH$4-0.375)/($A9+0.25)),"")</f>
        <v/>
      </c>
      <c r="AI9" s="17">
        <f>IF(AI$4&lt;=$A9,NORM.S.INV((AI$4-0.375)/($A9+0.25)),"")</f>
        <v/>
      </c>
      <c r="AJ9" s="17">
        <f>IF(AJ$4&lt;=$A9,NORM.S.INV((AJ$4-0.375)/($A9+0.25)),"")</f>
        <v/>
      </c>
      <c r="AK9" s="17">
        <f>IF(AK$4&lt;=$A9,NORM.S.INV((AK$4-0.375)/($A9+0.25)),"")</f>
        <v/>
      </c>
      <c r="AL9" s="17">
        <f>IF(AL$4&lt;=$A9,NORM.S.INV((AL$4-0.375)/($A9+0.25)),"")</f>
        <v/>
      </c>
      <c r="AM9" s="17">
        <f>IF(AM$4&lt;=$A9,NORM.S.INV((AM$4-0.375)/($A9+0.25)),"")</f>
        <v/>
      </c>
      <c r="AN9" s="17">
        <f>IF(AN$4&lt;=$A9,NORM.S.INV((AN$4-0.375)/($A9+0.25)),"")</f>
        <v/>
      </c>
      <c r="AO9" s="17">
        <f>IF(AO$4&lt;=$A9,NORM.S.INV((AO$4-0.375)/($A9+0.25)),"")</f>
        <v/>
      </c>
      <c r="AP9" s="18">
        <f>STDEVP($B9:$AO9)</f>
        <v/>
      </c>
      <c r="AQ9" s="17">
        <f>AP9</f>
        <v/>
      </c>
      <c r="AR9" s="17" t="n">
        <v>0.8361</v>
      </c>
      <c r="AS9" s="19">
        <f>IF(ROUND(AP9,4)=AR9,"PASS","FAIL")</f>
        <v/>
      </c>
    </row>
    <row r="10">
      <c r="A10" s="16" t="n">
        <v>7</v>
      </c>
      <c r="B10" s="17">
        <f>IF(B$4&lt;=$A10,NORM.S.INV((B$4-0.375)/($A10+0.25)),"")</f>
        <v/>
      </c>
      <c r="C10" s="17">
        <f>IF(C$4&lt;=$A10,NORM.S.INV((C$4-0.375)/($A10+0.25)),"")</f>
        <v/>
      </c>
      <c r="D10" s="17">
        <f>IF(D$4&lt;=$A10,NORM.S.INV((D$4-0.375)/($A10+0.25)),"")</f>
        <v/>
      </c>
      <c r="E10" s="17">
        <f>IF(E$4&lt;=$A10,NORM.S.INV((E$4-0.375)/($A10+0.25)),"")</f>
        <v/>
      </c>
      <c r="F10" s="17">
        <f>IF(F$4&lt;=$A10,NORM.S.INV((F$4-0.375)/($A10+0.25)),"")</f>
        <v/>
      </c>
      <c r="G10" s="17">
        <f>IF(G$4&lt;=$A10,NORM.S.INV((G$4-0.375)/($A10+0.25)),"")</f>
        <v/>
      </c>
      <c r="H10" s="17">
        <f>IF(H$4&lt;=$A10,NORM.S.INV((H$4-0.375)/($A10+0.25)),"")</f>
        <v/>
      </c>
      <c r="I10" s="17">
        <f>IF(I$4&lt;=$A10,NORM.S.INV((I$4-0.375)/($A10+0.25)),"")</f>
        <v/>
      </c>
      <c r="J10" s="17">
        <f>IF(J$4&lt;=$A10,NORM.S.INV((J$4-0.375)/($A10+0.25)),"")</f>
        <v/>
      </c>
      <c r="K10" s="17">
        <f>IF(K$4&lt;=$A10,NORM.S.INV((K$4-0.375)/($A10+0.25)),"")</f>
        <v/>
      </c>
      <c r="L10" s="17">
        <f>IF(L$4&lt;=$A10,NORM.S.INV((L$4-0.375)/($A10+0.25)),"")</f>
        <v/>
      </c>
      <c r="M10" s="17">
        <f>IF(M$4&lt;=$A10,NORM.S.INV((M$4-0.375)/($A10+0.25)),"")</f>
        <v/>
      </c>
      <c r="N10" s="17">
        <f>IF(N$4&lt;=$A10,NORM.S.INV((N$4-0.375)/($A10+0.25)),"")</f>
        <v/>
      </c>
      <c r="O10" s="17">
        <f>IF(O$4&lt;=$A10,NORM.S.INV((O$4-0.375)/($A10+0.25)),"")</f>
        <v/>
      </c>
      <c r="P10" s="17">
        <f>IF(P$4&lt;=$A10,NORM.S.INV((P$4-0.375)/($A10+0.25)),"")</f>
        <v/>
      </c>
      <c r="Q10" s="17">
        <f>IF(Q$4&lt;=$A10,NORM.S.INV((Q$4-0.375)/($A10+0.25)),"")</f>
        <v/>
      </c>
      <c r="R10" s="17">
        <f>IF(R$4&lt;=$A10,NORM.S.INV((R$4-0.375)/($A10+0.25)),"")</f>
        <v/>
      </c>
      <c r="S10" s="17">
        <f>IF(S$4&lt;=$A10,NORM.S.INV((S$4-0.375)/($A10+0.25)),"")</f>
        <v/>
      </c>
      <c r="T10" s="17">
        <f>IF(T$4&lt;=$A10,NORM.S.INV((T$4-0.375)/($A10+0.25)),"")</f>
        <v/>
      </c>
      <c r="U10" s="17">
        <f>IF(U$4&lt;=$A10,NORM.S.INV((U$4-0.375)/($A10+0.25)),"")</f>
        <v/>
      </c>
      <c r="V10" s="17">
        <f>IF(V$4&lt;=$A10,NORM.S.INV((V$4-0.375)/($A10+0.25)),"")</f>
        <v/>
      </c>
      <c r="W10" s="17">
        <f>IF(W$4&lt;=$A10,NORM.S.INV((W$4-0.375)/($A10+0.25)),"")</f>
        <v/>
      </c>
      <c r="X10" s="17">
        <f>IF(X$4&lt;=$A10,NORM.S.INV((X$4-0.375)/($A10+0.25)),"")</f>
        <v/>
      </c>
      <c r="Y10" s="17">
        <f>IF(Y$4&lt;=$A10,NORM.S.INV((Y$4-0.375)/($A10+0.25)),"")</f>
        <v/>
      </c>
      <c r="Z10" s="17">
        <f>IF(Z$4&lt;=$A10,NORM.S.INV((Z$4-0.375)/($A10+0.25)),"")</f>
        <v/>
      </c>
      <c r="AA10" s="17">
        <f>IF(AA$4&lt;=$A10,NORM.S.INV((AA$4-0.375)/($A10+0.25)),"")</f>
        <v/>
      </c>
      <c r="AB10" s="17">
        <f>IF(AB$4&lt;=$A10,NORM.S.INV((AB$4-0.375)/($A10+0.25)),"")</f>
        <v/>
      </c>
      <c r="AC10" s="17">
        <f>IF(AC$4&lt;=$A10,NORM.S.INV((AC$4-0.375)/($A10+0.25)),"")</f>
        <v/>
      </c>
      <c r="AD10" s="17">
        <f>IF(AD$4&lt;=$A10,NORM.S.INV((AD$4-0.375)/($A10+0.25)),"")</f>
        <v/>
      </c>
      <c r="AE10" s="17">
        <f>IF(AE$4&lt;=$A10,NORM.S.INV((AE$4-0.375)/($A10+0.25)),"")</f>
        <v/>
      </c>
      <c r="AF10" s="17">
        <f>IF(AF$4&lt;=$A10,NORM.S.INV((AF$4-0.375)/($A10+0.25)),"")</f>
        <v/>
      </c>
      <c r="AG10" s="17">
        <f>IF(AG$4&lt;=$A10,NORM.S.INV((AG$4-0.375)/($A10+0.25)),"")</f>
        <v/>
      </c>
      <c r="AH10" s="17">
        <f>IF(AH$4&lt;=$A10,NORM.S.INV((AH$4-0.375)/($A10+0.25)),"")</f>
        <v/>
      </c>
      <c r="AI10" s="17">
        <f>IF(AI$4&lt;=$A10,NORM.S.INV((AI$4-0.375)/($A10+0.25)),"")</f>
        <v/>
      </c>
      <c r="AJ10" s="17">
        <f>IF(AJ$4&lt;=$A10,NORM.S.INV((AJ$4-0.375)/($A10+0.25)),"")</f>
        <v/>
      </c>
      <c r="AK10" s="17">
        <f>IF(AK$4&lt;=$A10,NORM.S.INV((AK$4-0.375)/($A10+0.25)),"")</f>
        <v/>
      </c>
      <c r="AL10" s="17">
        <f>IF(AL$4&lt;=$A10,NORM.S.INV((AL$4-0.375)/($A10+0.25)),"")</f>
        <v/>
      </c>
      <c r="AM10" s="17">
        <f>IF(AM$4&lt;=$A10,NORM.S.INV((AM$4-0.375)/($A10+0.25)),"")</f>
        <v/>
      </c>
      <c r="AN10" s="17">
        <f>IF(AN$4&lt;=$A10,NORM.S.INV((AN$4-0.375)/($A10+0.25)),"")</f>
        <v/>
      </c>
      <c r="AO10" s="17">
        <f>IF(AO$4&lt;=$A10,NORM.S.INV((AO$4-0.375)/($A10+0.25)),"")</f>
        <v/>
      </c>
      <c r="AP10" s="18">
        <f>STDEVP($B10:$AO10)</f>
        <v/>
      </c>
      <c r="AQ10" s="17">
        <f>AP10</f>
        <v/>
      </c>
      <c r="AR10" s="17" t="n">
        <v>0.8555</v>
      </c>
      <c r="AS10" s="19">
        <f>IF(ROUND(AP10,4)=AR10,"PASS","FAIL")</f>
        <v/>
      </c>
    </row>
    <row r="11">
      <c r="A11" s="16" t="n">
        <v>8</v>
      </c>
      <c r="B11" s="17">
        <f>IF(B$4&lt;=$A11,NORM.S.INV((B$4-0.375)/($A11+0.25)),"")</f>
        <v/>
      </c>
      <c r="C11" s="17">
        <f>IF(C$4&lt;=$A11,NORM.S.INV((C$4-0.375)/($A11+0.25)),"")</f>
        <v/>
      </c>
      <c r="D11" s="17">
        <f>IF(D$4&lt;=$A11,NORM.S.INV((D$4-0.375)/($A11+0.25)),"")</f>
        <v/>
      </c>
      <c r="E11" s="17">
        <f>IF(E$4&lt;=$A11,NORM.S.INV((E$4-0.375)/($A11+0.25)),"")</f>
        <v/>
      </c>
      <c r="F11" s="17">
        <f>IF(F$4&lt;=$A11,NORM.S.INV((F$4-0.375)/($A11+0.25)),"")</f>
        <v/>
      </c>
      <c r="G11" s="17">
        <f>IF(G$4&lt;=$A11,NORM.S.INV((G$4-0.375)/($A11+0.25)),"")</f>
        <v/>
      </c>
      <c r="H11" s="17">
        <f>IF(H$4&lt;=$A11,NORM.S.INV((H$4-0.375)/($A11+0.25)),"")</f>
        <v/>
      </c>
      <c r="I11" s="17">
        <f>IF(I$4&lt;=$A11,NORM.S.INV((I$4-0.375)/($A11+0.25)),"")</f>
        <v/>
      </c>
      <c r="J11" s="17">
        <f>IF(J$4&lt;=$A11,NORM.S.INV((J$4-0.375)/($A11+0.25)),"")</f>
        <v/>
      </c>
      <c r="K11" s="17">
        <f>IF(K$4&lt;=$A11,NORM.S.INV((K$4-0.375)/($A11+0.25)),"")</f>
        <v/>
      </c>
      <c r="L11" s="17">
        <f>IF(L$4&lt;=$A11,NORM.S.INV((L$4-0.375)/($A11+0.25)),"")</f>
        <v/>
      </c>
      <c r="M11" s="17">
        <f>IF(M$4&lt;=$A11,NORM.S.INV((M$4-0.375)/($A11+0.25)),"")</f>
        <v/>
      </c>
      <c r="N11" s="17">
        <f>IF(N$4&lt;=$A11,NORM.S.INV((N$4-0.375)/($A11+0.25)),"")</f>
        <v/>
      </c>
      <c r="O11" s="17">
        <f>IF(O$4&lt;=$A11,NORM.S.INV((O$4-0.375)/($A11+0.25)),"")</f>
        <v/>
      </c>
      <c r="P11" s="17">
        <f>IF(P$4&lt;=$A11,NORM.S.INV((P$4-0.375)/($A11+0.25)),"")</f>
        <v/>
      </c>
      <c r="Q11" s="17">
        <f>IF(Q$4&lt;=$A11,NORM.S.INV((Q$4-0.375)/($A11+0.25)),"")</f>
        <v/>
      </c>
      <c r="R11" s="17">
        <f>IF(R$4&lt;=$A11,NORM.S.INV((R$4-0.375)/($A11+0.25)),"")</f>
        <v/>
      </c>
      <c r="S11" s="17">
        <f>IF(S$4&lt;=$A11,NORM.S.INV((S$4-0.375)/($A11+0.25)),"")</f>
        <v/>
      </c>
      <c r="T11" s="17">
        <f>IF(T$4&lt;=$A11,NORM.S.INV((T$4-0.375)/($A11+0.25)),"")</f>
        <v/>
      </c>
      <c r="U11" s="17">
        <f>IF(U$4&lt;=$A11,NORM.S.INV((U$4-0.375)/($A11+0.25)),"")</f>
        <v/>
      </c>
      <c r="V11" s="17">
        <f>IF(V$4&lt;=$A11,NORM.S.INV((V$4-0.375)/($A11+0.25)),"")</f>
        <v/>
      </c>
      <c r="W11" s="17">
        <f>IF(W$4&lt;=$A11,NORM.S.INV((W$4-0.375)/($A11+0.25)),"")</f>
        <v/>
      </c>
      <c r="X11" s="17">
        <f>IF(X$4&lt;=$A11,NORM.S.INV((X$4-0.375)/($A11+0.25)),"")</f>
        <v/>
      </c>
      <c r="Y11" s="17">
        <f>IF(Y$4&lt;=$A11,NORM.S.INV((Y$4-0.375)/($A11+0.25)),"")</f>
        <v/>
      </c>
      <c r="Z11" s="17">
        <f>IF(Z$4&lt;=$A11,NORM.S.INV((Z$4-0.375)/($A11+0.25)),"")</f>
        <v/>
      </c>
      <c r="AA11" s="17">
        <f>IF(AA$4&lt;=$A11,NORM.S.INV((AA$4-0.375)/($A11+0.25)),"")</f>
        <v/>
      </c>
      <c r="AB11" s="17">
        <f>IF(AB$4&lt;=$A11,NORM.S.INV((AB$4-0.375)/($A11+0.25)),"")</f>
        <v/>
      </c>
      <c r="AC11" s="17">
        <f>IF(AC$4&lt;=$A11,NORM.S.INV((AC$4-0.375)/($A11+0.25)),"")</f>
        <v/>
      </c>
      <c r="AD11" s="17">
        <f>IF(AD$4&lt;=$A11,NORM.S.INV((AD$4-0.375)/($A11+0.25)),"")</f>
        <v/>
      </c>
      <c r="AE11" s="17">
        <f>IF(AE$4&lt;=$A11,NORM.S.INV((AE$4-0.375)/($A11+0.25)),"")</f>
        <v/>
      </c>
      <c r="AF11" s="17">
        <f>IF(AF$4&lt;=$A11,NORM.S.INV((AF$4-0.375)/($A11+0.25)),"")</f>
        <v/>
      </c>
      <c r="AG11" s="17">
        <f>IF(AG$4&lt;=$A11,NORM.S.INV((AG$4-0.375)/($A11+0.25)),"")</f>
        <v/>
      </c>
      <c r="AH11" s="17">
        <f>IF(AH$4&lt;=$A11,NORM.S.INV((AH$4-0.375)/($A11+0.25)),"")</f>
        <v/>
      </c>
      <c r="AI11" s="17">
        <f>IF(AI$4&lt;=$A11,NORM.S.INV((AI$4-0.375)/($A11+0.25)),"")</f>
        <v/>
      </c>
      <c r="AJ11" s="17">
        <f>IF(AJ$4&lt;=$A11,NORM.S.INV((AJ$4-0.375)/($A11+0.25)),"")</f>
        <v/>
      </c>
      <c r="AK11" s="17">
        <f>IF(AK$4&lt;=$A11,NORM.S.INV((AK$4-0.375)/($A11+0.25)),"")</f>
        <v/>
      </c>
      <c r="AL11" s="17">
        <f>IF(AL$4&lt;=$A11,NORM.S.INV((AL$4-0.375)/($A11+0.25)),"")</f>
        <v/>
      </c>
      <c r="AM11" s="17">
        <f>IF(AM$4&lt;=$A11,NORM.S.INV((AM$4-0.375)/($A11+0.25)),"")</f>
        <v/>
      </c>
      <c r="AN11" s="17">
        <f>IF(AN$4&lt;=$A11,NORM.S.INV((AN$4-0.375)/($A11+0.25)),"")</f>
        <v/>
      </c>
      <c r="AO11" s="17">
        <f>IF(AO$4&lt;=$A11,NORM.S.INV((AO$4-0.375)/($A11+0.25)),"")</f>
        <v/>
      </c>
      <c r="AP11" s="18">
        <f>STDEVP($B11:$AO11)</f>
        <v/>
      </c>
      <c r="AQ11" s="17">
        <f>AP11</f>
        <v/>
      </c>
      <c r="AR11" s="17" t="n">
        <v>0.8704</v>
      </c>
      <c r="AS11" s="19">
        <f>IF(ROUND(AP11,4)=AR11,"PASS","FAIL")</f>
        <v/>
      </c>
    </row>
    <row r="12">
      <c r="A12" s="16" t="n">
        <v>9</v>
      </c>
      <c r="B12" s="17">
        <f>IF(B$4&lt;=$A12,NORM.S.INV((B$4-0.375)/($A12+0.25)),"")</f>
        <v/>
      </c>
      <c r="C12" s="17">
        <f>IF(C$4&lt;=$A12,NORM.S.INV((C$4-0.375)/($A12+0.25)),"")</f>
        <v/>
      </c>
      <c r="D12" s="17">
        <f>IF(D$4&lt;=$A12,NORM.S.INV((D$4-0.375)/($A12+0.25)),"")</f>
        <v/>
      </c>
      <c r="E12" s="17">
        <f>IF(E$4&lt;=$A12,NORM.S.INV((E$4-0.375)/($A12+0.25)),"")</f>
        <v/>
      </c>
      <c r="F12" s="17">
        <f>IF(F$4&lt;=$A12,NORM.S.INV((F$4-0.375)/($A12+0.25)),"")</f>
        <v/>
      </c>
      <c r="G12" s="17">
        <f>IF(G$4&lt;=$A12,NORM.S.INV((G$4-0.375)/($A12+0.25)),"")</f>
        <v/>
      </c>
      <c r="H12" s="17">
        <f>IF(H$4&lt;=$A12,NORM.S.INV((H$4-0.375)/($A12+0.25)),"")</f>
        <v/>
      </c>
      <c r="I12" s="17">
        <f>IF(I$4&lt;=$A12,NORM.S.INV((I$4-0.375)/($A12+0.25)),"")</f>
        <v/>
      </c>
      <c r="J12" s="17">
        <f>IF(J$4&lt;=$A12,NORM.S.INV((J$4-0.375)/($A12+0.25)),"")</f>
        <v/>
      </c>
      <c r="K12" s="17">
        <f>IF(K$4&lt;=$A12,NORM.S.INV((K$4-0.375)/($A12+0.25)),"")</f>
        <v/>
      </c>
      <c r="L12" s="17">
        <f>IF(L$4&lt;=$A12,NORM.S.INV((L$4-0.375)/($A12+0.25)),"")</f>
        <v/>
      </c>
      <c r="M12" s="17">
        <f>IF(M$4&lt;=$A12,NORM.S.INV((M$4-0.375)/($A12+0.25)),"")</f>
        <v/>
      </c>
      <c r="N12" s="17">
        <f>IF(N$4&lt;=$A12,NORM.S.INV((N$4-0.375)/($A12+0.25)),"")</f>
        <v/>
      </c>
      <c r="O12" s="17">
        <f>IF(O$4&lt;=$A12,NORM.S.INV((O$4-0.375)/($A12+0.25)),"")</f>
        <v/>
      </c>
      <c r="P12" s="17">
        <f>IF(P$4&lt;=$A12,NORM.S.INV((P$4-0.375)/($A12+0.25)),"")</f>
        <v/>
      </c>
      <c r="Q12" s="17">
        <f>IF(Q$4&lt;=$A12,NORM.S.INV((Q$4-0.375)/($A12+0.25)),"")</f>
        <v/>
      </c>
      <c r="R12" s="17">
        <f>IF(R$4&lt;=$A12,NORM.S.INV((R$4-0.375)/($A12+0.25)),"")</f>
        <v/>
      </c>
      <c r="S12" s="17">
        <f>IF(S$4&lt;=$A12,NORM.S.INV((S$4-0.375)/($A12+0.25)),"")</f>
        <v/>
      </c>
      <c r="T12" s="17">
        <f>IF(T$4&lt;=$A12,NORM.S.INV((T$4-0.375)/($A12+0.25)),"")</f>
        <v/>
      </c>
      <c r="U12" s="17">
        <f>IF(U$4&lt;=$A12,NORM.S.INV((U$4-0.375)/($A12+0.25)),"")</f>
        <v/>
      </c>
      <c r="V12" s="17">
        <f>IF(V$4&lt;=$A12,NORM.S.INV((V$4-0.375)/($A12+0.25)),"")</f>
        <v/>
      </c>
      <c r="W12" s="17">
        <f>IF(W$4&lt;=$A12,NORM.S.INV((W$4-0.375)/($A12+0.25)),"")</f>
        <v/>
      </c>
      <c r="X12" s="17">
        <f>IF(X$4&lt;=$A12,NORM.S.INV((X$4-0.375)/($A12+0.25)),"")</f>
        <v/>
      </c>
      <c r="Y12" s="17">
        <f>IF(Y$4&lt;=$A12,NORM.S.INV((Y$4-0.375)/($A12+0.25)),"")</f>
        <v/>
      </c>
      <c r="Z12" s="17">
        <f>IF(Z$4&lt;=$A12,NORM.S.INV((Z$4-0.375)/($A12+0.25)),"")</f>
        <v/>
      </c>
      <c r="AA12" s="17">
        <f>IF(AA$4&lt;=$A12,NORM.S.INV((AA$4-0.375)/($A12+0.25)),"")</f>
        <v/>
      </c>
      <c r="AB12" s="17">
        <f>IF(AB$4&lt;=$A12,NORM.S.INV((AB$4-0.375)/($A12+0.25)),"")</f>
        <v/>
      </c>
      <c r="AC12" s="17">
        <f>IF(AC$4&lt;=$A12,NORM.S.INV((AC$4-0.375)/($A12+0.25)),"")</f>
        <v/>
      </c>
      <c r="AD12" s="17">
        <f>IF(AD$4&lt;=$A12,NORM.S.INV((AD$4-0.375)/($A12+0.25)),"")</f>
        <v/>
      </c>
      <c r="AE12" s="17">
        <f>IF(AE$4&lt;=$A12,NORM.S.INV((AE$4-0.375)/($A12+0.25)),"")</f>
        <v/>
      </c>
      <c r="AF12" s="17">
        <f>IF(AF$4&lt;=$A12,NORM.S.INV((AF$4-0.375)/($A12+0.25)),"")</f>
        <v/>
      </c>
      <c r="AG12" s="17">
        <f>IF(AG$4&lt;=$A12,NORM.S.INV((AG$4-0.375)/($A12+0.25)),"")</f>
        <v/>
      </c>
      <c r="AH12" s="17">
        <f>IF(AH$4&lt;=$A12,NORM.S.INV((AH$4-0.375)/($A12+0.25)),"")</f>
        <v/>
      </c>
      <c r="AI12" s="17">
        <f>IF(AI$4&lt;=$A12,NORM.S.INV((AI$4-0.375)/($A12+0.25)),"")</f>
        <v/>
      </c>
      <c r="AJ12" s="17">
        <f>IF(AJ$4&lt;=$A12,NORM.S.INV((AJ$4-0.375)/($A12+0.25)),"")</f>
        <v/>
      </c>
      <c r="AK12" s="17">
        <f>IF(AK$4&lt;=$A12,NORM.S.INV((AK$4-0.375)/($A12+0.25)),"")</f>
        <v/>
      </c>
      <c r="AL12" s="17">
        <f>IF(AL$4&lt;=$A12,NORM.S.INV((AL$4-0.375)/($A12+0.25)),"")</f>
        <v/>
      </c>
      <c r="AM12" s="17">
        <f>IF(AM$4&lt;=$A12,NORM.S.INV((AM$4-0.375)/($A12+0.25)),"")</f>
        <v/>
      </c>
      <c r="AN12" s="17">
        <f>IF(AN$4&lt;=$A12,NORM.S.INV((AN$4-0.375)/($A12+0.25)),"")</f>
        <v/>
      </c>
      <c r="AO12" s="17">
        <f>IF(AO$4&lt;=$A12,NORM.S.INV((AO$4-0.375)/($A12+0.25)),"")</f>
        <v/>
      </c>
      <c r="AP12" s="18">
        <f>STDEVP($B12:$AO12)</f>
        <v/>
      </c>
      <c r="AQ12" s="17">
        <f>AP12</f>
        <v/>
      </c>
      <c r="AR12" s="17" t="n">
        <v>0.8823</v>
      </c>
      <c r="AS12" s="19">
        <f>IF(ROUND(AP12,4)=AR12,"PASS","FAIL")</f>
        <v/>
      </c>
    </row>
    <row r="13">
      <c r="A13" s="16" t="n">
        <v>10</v>
      </c>
      <c r="B13" s="17">
        <f>IF(B$4&lt;=$A13,NORM.S.INV((B$4-0.375)/($A13+0.25)),"")</f>
        <v/>
      </c>
      <c r="C13" s="17">
        <f>IF(C$4&lt;=$A13,NORM.S.INV((C$4-0.375)/($A13+0.25)),"")</f>
        <v/>
      </c>
      <c r="D13" s="17">
        <f>IF(D$4&lt;=$A13,NORM.S.INV((D$4-0.375)/($A13+0.25)),"")</f>
        <v/>
      </c>
      <c r="E13" s="17">
        <f>IF(E$4&lt;=$A13,NORM.S.INV((E$4-0.375)/($A13+0.25)),"")</f>
        <v/>
      </c>
      <c r="F13" s="17">
        <f>IF(F$4&lt;=$A13,NORM.S.INV((F$4-0.375)/($A13+0.25)),"")</f>
        <v/>
      </c>
      <c r="G13" s="17">
        <f>IF(G$4&lt;=$A13,NORM.S.INV((G$4-0.375)/($A13+0.25)),"")</f>
        <v/>
      </c>
      <c r="H13" s="17">
        <f>IF(H$4&lt;=$A13,NORM.S.INV((H$4-0.375)/($A13+0.25)),"")</f>
        <v/>
      </c>
      <c r="I13" s="17">
        <f>IF(I$4&lt;=$A13,NORM.S.INV((I$4-0.375)/($A13+0.25)),"")</f>
        <v/>
      </c>
      <c r="J13" s="17">
        <f>IF(J$4&lt;=$A13,NORM.S.INV((J$4-0.375)/($A13+0.25)),"")</f>
        <v/>
      </c>
      <c r="K13" s="17">
        <f>IF(K$4&lt;=$A13,NORM.S.INV((K$4-0.375)/($A13+0.25)),"")</f>
        <v/>
      </c>
      <c r="L13" s="17">
        <f>IF(L$4&lt;=$A13,NORM.S.INV((L$4-0.375)/($A13+0.25)),"")</f>
        <v/>
      </c>
      <c r="M13" s="17">
        <f>IF(M$4&lt;=$A13,NORM.S.INV((M$4-0.375)/($A13+0.25)),"")</f>
        <v/>
      </c>
      <c r="N13" s="17">
        <f>IF(N$4&lt;=$A13,NORM.S.INV((N$4-0.375)/($A13+0.25)),"")</f>
        <v/>
      </c>
      <c r="O13" s="17">
        <f>IF(O$4&lt;=$A13,NORM.S.INV((O$4-0.375)/($A13+0.25)),"")</f>
        <v/>
      </c>
      <c r="P13" s="17">
        <f>IF(P$4&lt;=$A13,NORM.S.INV((P$4-0.375)/($A13+0.25)),"")</f>
        <v/>
      </c>
      <c r="Q13" s="17">
        <f>IF(Q$4&lt;=$A13,NORM.S.INV((Q$4-0.375)/($A13+0.25)),"")</f>
        <v/>
      </c>
      <c r="R13" s="17">
        <f>IF(R$4&lt;=$A13,NORM.S.INV((R$4-0.375)/($A13+0.25)),"")</f>
        <v/>
      </c>
      <c r="S13" s="17">
        <f>IF(S$4&lt;=$A13,NORM.S.INV((S$4-0.375)/($A13+0.25)),"")</f>
        <v/>
      </c>
      <c r="T13" s="17">
        <f>IF(T$4&lt;=$A13,NORM.S.INV((T$4-0.375)/($A13+0.25)),"")</f>
        <v/>
      </c>
      <c r="U13" s="17">
        <f>IF(U$4&lt;=$A13,NORM.S.INV((U$4-0.375)/($A13+0.25)),"")</f>
        <v/>
      </c>
      <c r="V13" s="17">
        <f>IF(V$4&lt;=$A13,NORM.S.INV((V$4-0.375)/($A13+0.25)),"")</f>
        <v/>
      </c>
      <c r="W13" s="17">
        <f>IF(W$4&lt;=$A13,NORM.S.INV((W$4-0.375)/($A13+0.25)),"")</f>
        <v/>
      </c>
      <c r="X13" s="17">
        <f>IF(X$4&lt;=$A13,NORM.S.INV((X$4-0.375)/($A13+0.25)),"")</f>
        <v/>
      </c>
      <c r="Y13" s="17">
        <f>IF(Y$4&lt;=$A13,NORM.S.INV((Y$4-0.375)/($A13+0.25)),"")</f>
        <v/>
      </c>
      <c r="Z13" s="17">
        <f>IF(Z$4&lt;=$A13,NORM.S.INV((Z$4-0.375)/($A13+0.25)),"")</f>
        <v/>
      </c>
      <c r="AA13" s="17">
        <f>IF(AA$4&lt;=$A13,NORM.S.INV((AA$4-0.375)/($A13+0.25)),"")</f>
        <v/>
      </c>
      <c r="AB13" s="17">
        <f>IF(AB$4&lt;=$A13,NORM.S.INV((AB$4-0.375)/($A13+0.25)),"")</f>
        <v/>
      </c>
      <c r="AC13" s="17">
        <f>IF(AC$4&lt;=$A13,NORM.S.INV((AC$4-0.375)/($A13+0.25)),"")</f>
        <v/>
      </c>
      <c r="AD13" s="17">
        <f>IF(AD$4&lt;=$A13,NORM.S.INV((AD$4-0.375)/($A13+0.25)),"")</f>
        <v/>
      </c>
      <c r="AE13" s="17">
        <f>IF(AE$4&lt;=$A13,NORM.S.INV((AE$4-0.375)/($A13+0.25)),"")</f>
        <v/>
      </c>
      <c r="AF13" s="17">
        <f>IF(AF$4&lt;=$A13,NORM.S.INV((AF$4-0.375)/($A13+0.25)),"")</f>
        <v/>
      </c>
      <c r="AG13" s="17">
        <f>IF(AG$4&lt;=$A13,NORM.S.INV((AG$4-0.375)/($A13+0.25)),"")</f>
        <v/>
      </c>
      <c r="AH13" s="17">
        <f>IF(AH$4&lt;=$A13,NORM.S.INV((AH$4-0.375)/($A13+0.25)),"")</f>
        <v/>
      </c>
      <c r="AI13" s="17">
        <f>IF(AI$4&lt;=$A13,NORM.S.INV((AI$4-0.375)/($A13+0.25)),"")</f>
        <v/>
      </c>
      <c r="AJ13" s="17">
        <f>IF(AJ$4&lt;=$A13,NORM.S.INV((AJ$4-0.375)/($A13+0.25)),"")</f>
        <v/>
      </c>
      <c r="AK13" s="17">
        <f>IF(AK$4&lt;=$A13,NORM.S.INV((AK$4-0.375)/($A13+0.25)),"")</f>
        <v/>
      </c>
      <c r="AL13" s="17">
        <f>IF(AL$4&lt;=$A13,NORM.S.INV((AL$4-0.375)/($A13+0.25)),"")</f>
        <v/>
      </c>
      <c r="AM13" s="17">
        <f>IF(AM$4&lt;=$A13,NORM.S.INV((AM$4-0.375)/($A13+0.25)),"")</f>
        <v/>
      </c>
      <c r="AN13" s="17">
        <f>IF(AN$4&lt;=$A13,NORM.S.INV((AN$4-0.375)/($A13+0.25)),"")</f>
        <v/>
      </c>
      <c r="AO13" s="17">
        <f>IF(AO$4&lt;=$A13,NORM.S.INV((AO$4-0.375)/($A13+0.25)),"")</f>
        <v/>
      </c>
      <c r="AP13" s="18">
        <f>STDEVP($B13:$AO13)</f>
        <v/>
      </c>
      <c r="AQ13" s="17">
        <f>AP13</f>
        <v/>
      </c>
      <c r="AR13" s="17" t="n">
        <v>0.892</v>
      </c>
      <c r="AS13" s="19">
        <f>IF(ROUND(AP13,4)=AR13,"PASS","FAIL")</f>
        <v/>
      </c>
    </row>
    <row r="14">
      <c r="A14" s="16" t="n">
        <v>11</v>
      </c>
      <c r="B14" s="17">
        <f>IF(B$4&lt;=$A14,NORM.S.INV((B$4-0.375)/($A14+0.25)),"")</f>
        <v/>
      </c>
      <c r="C14" s="17">
        <f>IF(C$4&lt;=$A14,NORM.S.INV((C$4-0.375)/($A14+0.25)),"")</f>
        <v/>
      </c>
      <c r="D14" s="17">
        <f>IF(D$4&lt;=$A14,NORM.S.INV((D$4-0.375)/($A14+0.25)),"")</f>
        <v/>
      </c>
      <c r="E14" s="17">
        <f>IF(E$4&lt;=$A14,NORM.S.INV((E$4-0.375)/($A14+0.25)),"")</f>
        <v/>
      </c>
      <c r="F14" s="17">
        <f>IF(F$4&lt;=$A14,NORM.S.INV((F$4-0.375)/($A14+0.25)),"")</f>
        <v/>
      </c>
      <c r="G14" s="17">
        <f>IF(G$4&lt;=$A14,NORM.S.INV((G$4-0.375)/($A14+0.25)),"")</f>
        <v/>
      </c>
      <c r="H14" s="17">
        <f>IF(H$4&lt;=$A14,NORM.S.INV((H$4-0.375)/($A14+0.25)),"")</f>
        <v/>
      </c>
      <c r="I14" s="17">
        <f>IF(I$4&lt;=$A14,NORM.S.INV((I$4-0.375)/($A14+0.25)),"")</f>
        <v/>
      </c>
      <c r="J14" s="17">
        <f>IF(J$4&lt;=$A14,NORM.S.INV((J$4-0.375)/($A14+0.25)),"")</f>
        <v/>
      </c>
      <c r="K14" s="17">
        <f>IF(K$4&lt;=$A14,NORM.S.INV((K$4-0.375)/($A14+0.25)),"")</f>
        <v/>
      </c>
      <c r="L14" s="17">
        <f>IF(L$4&lt;=$A14,NORM.S.INV((L$4-0.375)/($A14+0.25)),"")</f>
        <v/>
      </c>
      <c r="M14" s="17">
        <f>IF(M$4&lt;=$A14,NORM.S.INV((M$4-0.375)/($A14+0.25)),"")</f>
        <v/>
      </c>
      <c r="N14" s="17">
        <f>IF(N$4&lt;=$A14,NORM.S.INV((N$4-0.375)/($A14+0.25)),"")</f>
        <v/>
      </c>
      <c r="O14" s="17">
        <f>IF(O$4&lt;=$A14,NORM.S.INV((O$4-0.375)/($A14+0.25)),"")</f>
        <v/>
      </c>
      <c r="P14" s="17">
        <f>IF(P$4&lt;=$A14,NORM.S.INV((P$4-0.375)/($A14+0.25)),"")</f>
        <v/>
      </c>
      <c r="Q14" s="17">
        <f>IF(Q$4&lt;=$A14,NORM.S.INV((Q$4-0.375)/($A14+0.25)),"")</f>
        <v/>
      </c>
      <c r="R14" s="17">
        <f>IF(R$4&lt;=$A14,NORM.S.INV((R$4-0.375)/($A14+0.25)),"")</f>
        <v/>
      </c>
      <c r="S14" s="17">
        <f>IF(S$4&lt;=$A14,NORM.S.INV((S$4-0.375)/($A14+0.25)),"")</f>
        <v/>
      </c>
      <c r="T14" s="17">
        <f>IF(T$4&lt;=$A14,NORM.S.INV((T$4-0.375)/($A14+0.25)),"")</f>
        <v/>
      </c>
      <c r="U14" s="17">
        <f>IF(U$4&lt;=$A14,NORM.S.INV((U$4-0.375)/($A14+0.25)),"")</f>
        <v/>
      </c>
      <c r="V14" s="17">
        <f>IF(V$4&lt;=$A14,NORM.S.INV((V$4-0.375)/($A14+0.25)),"")</f>
        <v/>
      </c>
      <c r="W14" s="17">
        <f>IF(W$4&lt;=$A14,NORM.S.INV((W$4-0.375)/($A14+0.25)),"")</f>
        <v/>
      </c>
      <c r="X14" s="17">
        <f>IF(X$4&lt;=$A14,NORM.S.INV((X$4-0.375)/($A14+0.25)),"")</f>
        <v/>
      </c>
      <c r="Y14" s="17">
        <f>IF(Y$4&lt;=$A14,NORM.S.INV((Y$4-0.375)/($A14+0.25)),"")</f>
        <v/>
      </c>
      <c r="Z14" s="17">
        <f>IF(Z$4&lt;=$A14,NORM.S.INV((Z$4-0.375)/($A14+0.25)),"")</f>
        <v/>
      </c>
      <c r="AA14" s="17">
        <f>IF(AA$4&lt;=$A14,NORM.S.INV((AA$4-0.375)/($A14+0.25)),"")</f>
        <v/>
      </c>
      <c r="AB14" s="17">
        <f>IF(AB$4&lt;=$A14,NORM.S.INV((AB$4-0.375)/($A14+0.25)),"")</f>
        <v/>
      </c>
      <c r="AC14" s="17">
        <f>IF(AC$4&lt;=$A14,NORM.S.INV((AC$4-0.375)/($A14+0.25)),"")</f>
        <v/>
      </c>
      <c r="AD14" s="17">
        <f>IF(AD$4&lt;=$A14,NORM.S.INV((AD$4-0.375)/($A14+0.25)),"")</f>
        <v/>
      </c>
      <c r="AE14" s="17">
        <f>IF(AE$4&lt;=$A14,NORM.S.INV((AE$4-0.375)/($A14+0.25)),"")</f>
        <v/>
      </c>
      <c r="AF14" s="17">
        <f>IF(AF$4&lt;=$A14,NORM.S.INV((AF$4-0.375)/($A14+0.25)),"")</f>
        <v/>
      </c>
      <c r="AG14" s="17">
        <f>IF(AG$4&lt;=$A14,NORM.S.INV((AG$4-0.375)/($A14+0.25)),"")</f>
        <v/>
      </c>
      <c r="AH14" s="17">
        <f>IF(AH$4&lt;=$A14,NORM.S.INV((AH$4-0.375)/($A14+0.25)),"")</f>
        <v/>
      </c>
      <c r="AI14" s="17">
        <f>IF(AI$4&lt;=$A14,NORM.S.INV((AI$4-0.375)/($A14+0.25)),"")</f>
        <v/>
      </c>
      <c r="AJ14" s="17">
        <f>IF(AJ$4&lt;=$A14,NORM.S.INV((AJ$4-0.375)/($A14+0.25)),"")</f>
        <v/>
      </c>
      <c r="AK14" s="17">
        <f>IF(AK$4&lt;=$A14,NORM.S.INV((AK$4-0.375)/($A14+0.25)),"")</f>
        <v/>
      </c>
      <c r="AL14" s="17">
        <f>IF(AL$4&lt;=$A14,NORM.S.INV((AL$4-0.375)/($A14+0.25)),"")</f>
        <v/>
      </c>
      <c r="AM14" s="17">
        <f>IF(AM$4&lt;=$A14,NORM.S.INV((AM$4-0.375)/($A14+0.25)),"")</f>
        <v/>
      </c>
      <c r="AN14" s="17">
        <f>IF(AN$4&lt;=$A14,NORM.S.INV((AN$4-0.375)/($A14+0.25)),"")</f>
        <v/>
      </c>
      <c r="AO14" s="17">
        <f>IF(AO$4&lt;=$A14,NORM.S.INV((AO$4-0.375)/($A14+0.25)),"")</f>
        <v/>
      </c>
      <c r="AP14" s="18">
        <f>STDEVP($B14:$AO14)</f>
        <v/>
      </c>
      <c r="AQ14" s="17">
        <f>AP14</f>
        <v/>
      </c>
      <c r="AR14" s="17" t="n">
        <v>0.9001</v>
      </c>
      <c r="AS14" s="19">
        <f>IF(ROUND(AP14,4)=AR14,"PASS","FAIL")</f>
        <v/>
      </c>
    </row>
    <row r="15">
      <c r="A15" s="16" t="n">
        <v>12</v>
      </c>
      <c r="B15" s="17">
        <f>IF(B$4&lt;=$A15,NORM.S.INV((B$4-0.375)/($A15+0.25)),"")</f>
        <v/>
      </c>
      <c r="C15" s="17">
        <f>IF(C$4&lt;=$A15,NORM.S.INV((C$4-0.375)/($A15+0.25)),"")</f>
        <v/>
      </c>
      <c r="D15" s="17">
        <f>IF(D$4&lt;=$A15,NORM.S.INV((D$4-0.375)/($A15+0.25)),"")</f>
        <v/>
      </c>
      <c r="E15" s="17">
        <f>IF(E$4&lt;=$A15,NORM.S.INV((E$4-0.375)/($A15+0.25)),"")</f>
        <v/>
      </c>
      <c r="F15" s="17">
        <f>IF(F$4&lt;=$A15,NORM.S.INV((F$4-0.375)/($A15+0.25)),"")</f>
        <v/>
      </c>
      <c r="G15" s="17">
        <f>IF(G$4&lt;=$A15,NORM.S.INV((G$4-0.375)/($A15+0.25)),"")</f>
        <v/>
      </c>
      <c r="H15" s="17">
        <f>IF(H$4&lt;=$A15,NORM.S.INV((H$4-0.375)/($A15+0.25)),"")</f>
        <v/>
      </c>
      <c r="I15" s="17">
        <f>IF(I$4&lt;=$A15,NORM.S.INV((I$4-0.375)/($A15+0.25)),"")</f>
        <v/>
      </c>
      <c r="J15" s="17">
        <f>IF(J$4&lt;=$A15,NORM.S.INV((J$4-0.375)/($A15+0.25)),"")</f>
        <v/>
      </c>
      <c r="K15" s="17">
        <f>IF(K$4&lt;=$A15,NORM.S.INV((K$4-0.375)/($A15+0.25)),"")</f>
        <v/>
      </c>
      <c r="L15" s="17">
        <f>IF(L$4&lt;=$A15,NORM.S.INV((L$4-0.375)/($A15+0.25)),"")</f>
        <v/>
      </c>
      <c r="M15" s="17">
        <f>IF(M$4&lt;=$A15,NORM.S.INV((M$4-0.375)/($A15+0.25)),"")</f>
        <v/>
      </c>
      <c r="N15" s="17">
        <f>IF(N$4&lt;=$A15,NORM.S.INV((N$4-0.375)/($A15+0.25)),"")</f>
        <v/>
      </c>
      <c r="O15" s="17">
        <f>IF(O$4&lt;=$A15,NORM.S.INV((O$4-0.375)/($A15+0.25)),"")</f>
        <v/>
      </c>
      <c r="P15" s="17">
        <f>IF(P$4&lt;=$A15,NORM.S.INV((P$4-0.375)/($A15+0.25)),"")</f>
        <v/>
      </c>
      <c r="Q15" s="17">
        <f>IF(Q$4&lt;=$A15,NORM.S.INV((Q$4-0.375)/($A15+0.25)),"")</f>
        <v/>
      </c>
      <c r="R15" s="17">
        <f>IF(R$4&lt;=$A15,NORM.S.INV((R$4-0.375)/($A15+0.25)),"")</f>
        <v/>
      </c>
      <c r="S15" s="17">
        <f>IF(S$4&lt;=$A15,NORM.S.INV((S$4-0.375)/($A15+0.25)),"")</f>
        <v/>
      </c>
      <c r="T15" s="17">
        <f>IF(T$4&lt;=$A15,NORM.S.INV((T$4-0.375)/($A15+0.25)),"")</f>
        <v/>
      </c>
      <c r="U15" s="17">
        <f>IF(U$4&lt;=$A15,NORM.S.INV((U$4-0.375)/($A15+0.25)),"")</f>
        <v/>
      </c>
      <c r="V15" s="17">
        <f>IF(V$4&lt;=$A15,NORM.S.INV((V$4-0.375)/($A15+0.25)),"")</f>
        <v/>
      </c>
      <c r="W15" s="17">
        <f>IF(W$4&lt;=$A15,NORM.S.INV((W$4-0.375)/($A15+0.25)),"")</f>
        <v/>
      </c>
      <c r="X15" s="17">
        <f>IF(X$4&lt;=$A15,NORM.S.INV((X$4-0.375)/($A15+0.25)),"")</f>
        <v/>
      </c>
      <c r="Y15" s="17">
        <f>IF(Y$4&lt;=$A15,NORM.S.INV((Y$4-0.375)/($A15+0.25)),"")</f>
        <v/>
      </c>
      <c r="Z15" s="17">
        <f>IF(Z$4&lt;=$A15,NORM.S.INV((Z$4-0.375)/($A15+0.25)),"")</f>
        <v/>
      </c>
      <c r="AA15" s="17">
        <f>IF(AA$4&lt;=$A15,NORM.S.INV((AA$4-0.375)/($A15+0.25)),"")</f>
        <v/>
      </c>
      <c r="AB15" s="17">
        <f>IF(AB$4&lt;=$A15,NORM.S.INV((AB$4-0.375)/($A15+0.25)),"")</f>
        <v/>
      </c>
      <c r="AC15" s="17">
        <f>IF(AC$4&lt;=$A15,NORM.S.INV((AC$4-0.375)/($A15+0.25)),"")</f>
        <v/>
      </c>
      <c r="AD15" s="17">
        <f>IF(AD$4&lt;=$A15,NORM.S.INV((AD$4-0.375)/($A15+0.25)),"")</f>
        <v/>
      </c>
      <c r="AE15" s="17">
        <f>IF(AE$4&lt;=$A15,NORM.S.INV((AE$4-0.375)/($A15+0.25)),"")</f>
        <v/>
      </c>
      <c r="AF15" s="17">
        <f>IF(AF$4&lt;=$A15,NORM.S.INV((AF$4-0.375)/($A15+0.25)),"")</f>
        <v/>
      </c>
      <c r="AG15" s="17">
        <f>IF(AG$4&lt;=$A15,NORM.S.INV((AG$4-0.375)/($A15+0.25)),"")</f>
        <v/>
      </c>
      <c r="AH15" s="17">
        <f>IF(AH$4&lt;=$A15,NORM.S.INV((AH$4-0.375)/($A15+0.25)),"")</f>
        <v/>
      </c>
      <c r="AI15" s="17">
        <f>IF(AI$4&lt;=$A15,NORM.S.INV((AI$4-0.375)/($A15+0.25)),"")</f>
        <v/>
      </c>
      <c r="AJ15" s="17">
        <f>IF(AJ$4&lt;=$A15,NORM.S.INV((AJ$4-0.375)/($A15+0.25)),"")</f>
        <v/>
      </c>
      <c r="AK15" s="17">
        <f>IF(AK$4&lt;=$A15,NORM.S.INV((AK$4-0.375)/($A15+0.25)),"")</f>
        <v/>
      </c>
      <c r="AL15" s="17">
        <f>IF(AL$4&lt;=$A15,NORM.S.INV((AL$4-0.375)/($A15+0.25)),"")</f>
        <v/>
      </c>
      <c r="AM15" s="17">
        <f>IF(AM$4&lt;=$A15,NORM.S.INV((AM$4-0.375)/($A15+0.25)),"")</f>
        <v/>
      </c>
      <c r="AN15" s="17">
        <f>IF(AN$4&lt;=$A15,NORM.S.INV((AN$4-0.375)/($A15+0.25)),"")</f>
        <v/>
      </c>
      <c r="AO15" s="17">
        <f>IF(AO$4&lt;=$A15,NORM.S.INV((AO$4-0.375)/($A15+0.25)),"")</f>
        <v/>
      </c>
      <c r="AP15" s="18">
        <f>STDEVP($B15:$AO15)</f>
        <v/>
      </c>
      <c r="AQ15" s="17">
        <f>AP15</f>
        <v/>
      </c>
      <c r="AR15" s="17" t="n">
        <v>0.907</v>
      </c>
      <c r="AS15" s="19">
        <f>IF(ROUND(AP15,4)=AR15,"PASS","FAIL")</f>
        <v/>
      </c>
    </row>
    <row r="16">
      <c r="A16" s="16" t="n">
        <v>13</v>
      </c>
      <c r="B16" s="17">
        <f>IF(B$4&lt;=$A16,NORM.S.INV((B$4-0.375)/($A16+0.25)),"")</f>
        <v/>
      </c>
      <c r="C16" s="17">
        <f>IF(C$4&lt;=$A16,NORM.S.INV((C$4-0.375)/($A16+0.25)),"")</f>
        <v/>
      </c>
      <c r="D16" s="17">
        <f>IF(D$4&lt;=$A16,NORM.S.INV((D$4-0.375)/($A16+0.25)),"")</f>
        <v/>
      </c>
      <c r="E16" s="17">
        <f>IF(E$4&lt;=$A16,NORM.S.INV((E$4-0.375)/($A16+0.25)),"")</f>
        <v/>
      </c>
      <c r="F16" s="17">
        <f>IF(F$4&lt;=$A16,NORM.S.INV((F$4-0.375)/($A16+0.25)),"")</f>
        <v/>
      </c>
      <c r="G16" s="17">
        <f>IF(G$4&lt;=$A16,NORM.S.INV((G$4-0.375)/($A16+0.25)),"")</f>
        <v/>
      </c>
      <c r="H16" s="17">
        <f>IF(H$4&lt;=$A16,NORM.S.INV((H$4-0.375)/($A16+0.25)),"")</f>
        <v/>
      </c>
      <c r="I16" s="17">
        <f>IF(I$4&lt;=$A16,NORM.S.INV((I$4-0.375)/($A16+0.25)),"")</f>
        <v/>
      </c>
      <c r="J16" s="17">
        <f>IF(J$4&lt;=$A16,NORM.S.INV((J$4-0.375)/($A16+0.25)),"")</f>
        <v/>
      </c>
      <c r="K16" s="17">
        <f>IF(K$4&lt;=$A16,NORM.S.INV((K$4-0.375)/($A16+0.25)),"")</f>
        <v/>
      </c>
      <c r="L16" s="17">
        <f>IF(L$4&lt;=$A16,NORM.S.INV((L$4-0.375)/($A16+0.25)),"")</f>
        <v/>
      </c>
      <c r="M16" s="17">
        <f>IF(M$4&lt;=$A16,NORM.S.INV((M$4-0.375)/($A16+0.25)),"")</f>
        <v/>
      </c>
      <c r="N16" s="17">
        <f>IF(N$4&lt;=$A16,NORM.S.INV((N$4-0.375)/($A16+0.25)),"")</f>
        <v/>
      </c>
      <c r="O16" s="17">
        <f>IF(O$4&lt;=$A16,NORM.S.INV((O$4-0.375)/($A16+0.25)),"")</f>
        <v/>
      </c>
      <c r="P16" s="17">
        <f>IF(P$4&lt;=$A16,NORM.S.INV((P$4-0.375)/($A16+0.25)),"")</f>
        <v/>
      </c>
      <c r="Q16" s="17">
        <f>IF(Q$4&lt;=$A16,NORM.S.INV((Q$4-0.375)/($A16+0.25)),"")</f>
        <v/>
      </c>
      <c r="R16" s="17">
        <f>IF(R$4&lt;=$A16,NORM.S.INV((R$4-0.375)/($A16+0.25)),"")</f>
        <v/>
      </c>
      <c r="S16" s="17">
        <f>IF(S$4&lt;=$A16,NORM.S.INV((S$4-0.375)/($A16+0.25)),"")</f>
        <v/>
      </c>
      <c r="T16" s="17">
        <f>IF(T$4&lt;=$A16,NORM.S.INV((T$4-0.375)/($A16+0.25)),"")</f>
        <v/>
      </c>
      <c r="U16" s="17">
        <f>IF(U$4&lt;=$A16,NORM.S.INV((U$4-0.375)/($A16+0.25)),"")</f>
        <v/>
      </c>
      <c r="V16" s="17">
        <f>IF(V$4&lt;=$A16,NORM.S.INV((V$4-0.375)/($A16+0.25)),"")</f>
        <v/>
      </c>
      <c r="W16" s="17">
        <f>IF(W$4&lt;=$A16,NORM.S.INV((W$4-0.375)/($A16+0.25)),"")</f>
        <v/>
      </c>
      <c r="X16" s="17">
        <f>IF(X$4&lt;=$A16,NORM.S.INV((X$4-0.375)/($A16+0.25)),"")</f>
        <v/>
      </c>
      <c r="Y16" s="17">
        <f>IF(Y$4&lt;=$A16,NORM.S.INV((Y$4-0.375)/($A16+0.25)),"")</f>
        <v/>
      </c>
      <c r="Z16" s="17">
        <f>IF(Z$4&lt;=$A16,NORM.S.INV((Z$4-0.375)/($A16+0.25)),"")</f>
        <v/>
      </c>
      <c r="AA16" s="17">
        <f>IF(AA$4&lt;=$A16,NORM.S.INV((AA$4-0.375)/($A16+0.25)),"")</f>
        <v/>
      </c>
      <c r="AB16" s="17">
        <f>IF(AB$4&lt;=$A16,NORM.S.INV((AB$4-0.375)/($A16+0.25)),"")</f>
        <v/>
      </c>
      <c r="AC16" s="17">
        <f>IF(AC$4&lt;=$A16,NORM.S.INV((AC$4-0.375)/($A16+0.25)),"")</f>
        <v/>
      </c>
      <c r="AD16" s="17">
        <f>IF(AD$4&lt;=$A16,NORM.S.INV((AD$4-0.375)/($A16+0.25)),"")</f>
        <v/>
      </c>
      <c r="AE16" s="17">
        <f>IF(AE$4&lt;=$A16,NORM.S.INV((AE$4-0.375)/($A16+0.25)),"")</f>
        <v/>
      </c>
      <c r="AF16" s="17">
        <f>IF(AF$4&lt;=$A16,NORM.S.INV((AF$4-0.375)/($A16+0.25)),"")</f>
        <v/>
      </c>
      <c r="AG16" s="17">
        <f>IF(AG$4&lt;=$A16,NORM.S.INV((AG$4-0.375)/($A16+0.25)),"")</f>
        <v/>
      </c>
      <c r="AH16" s="17">
        <f>IF(AH$4&lt;=$A16,NORM.S.INV((AH$4-0.375)/($A16+0.25)),"")</f>
        <v/>
      </c>
      <c r="AI16" s="17">
        <f>IF(AI$4&lt;=$A16,NORM.S.INV((AI$4-0.375)/($A16+0.25)),"")</f>
        <v/>
      </c>
      <c r="AJ16" s="17">
        <f>IF(AJ$4&lt;=$A16,NORM.S.INV((AJ$4-0.375)/($A16+0.25)),"")</f>
        <v/>
      </c>
      <c r="AK16" s="17">
        <f>IF(AK$4&lt;=$A16,NORM.S.INV((AK$4-0.375)/($A16+0.25)),"")</f>
        <v/>
      </c>
      <c r="AL16" s="17">
        <f>IF(AL$4&lt;=$A16,NORM.S.INV((AL$4-0.375)/($A16+0.25)),"")</f>
        <v/>
      </c>
      <c r="AM16" s="17">
        <f>IF(AM$4&lt;=$A16,NORM.S.INV((AM$4-0.375)/($A16+0.25)),"")</f>
        <v/>
      </c>
      <c r="AN16" s="17">
        <f>IF(AN$4&lt;=$A16,NORM.S.INV((AN$4-0.375)/($A16+0.25)),"")</f>
        <v/>
      </c>
      <c r="AO16" s="17">
        <f>IF(AO$4&lt;=$A16,NORM.S.INV((AO$4-0.375)/($A16+0.25)),"")</f>
        <v/>
      </c>
      <c r="AP16" s="18">
        <f>STDEVP($B16:$AO16)</f>
        <v/>
      </c>
      <c r="AQ16" s="17">
        <f>AP16</f>
        <v/>
      </c>
      <c r="AR16" s="17" t="n">
        <v>0.9129</v>
      </c>
      <c r="AS16" s="19">
        <f>IF(ROUND(AP16,4)=AR16,"PASS","FAIL")</f>
        <v/>
      </c>
    </row>
    <row r="17">
      <c r="A17" s="16" t="n">
        <v>14</v>
      </c>
      <c r="B17" s="17">
        <f>IF(B$4&lt;=$A17,NORM.S.INV((B$4-0.375)/($A17+0.25)),"")</f>
        <v/>
      </c>
      <c r="C17" s="17">
        <f>IF(C$4&lt;=$A17,NORM.S.INV((C$4-0.375)/($A17+0.25)),"")</f>
        <v/>
      </c>
      <c r="D17" s="17">
        <f>IF(D$4&lt;=$A17,NORM.S.INV((D$4-0.375)/($A17+0.25)),"")</f>
        <v/>
      </c>
      <c r="E17" s="17">
        <f>IF(E$4&lt;=$A17,NORM.S.INV((E$4-0.375)/($A17+0.25)),"")</f>
        <v/>
      </c>
      <c r="F17" s="17">
        <f>IF(F$4&lt;=$A17,NORM.S.INV((F$4-0.375)/($A17+0.25)),"")</f>
        <v/>
      </c>
      <c r="G17" s="17">
        <f>IF(G$4&lt;=$A17,NORM.S.INV((G$4-0.375)/($A17+0.25)),"")</f>
        <v/>
      </c>
      <c r="H17" s="17">
        <f>IF(H$4&lt;=$A17,NORM.S.INV((H$4-0.375)/($A17+0.25)),"")</f>
        <v/>
      </c>
      <c r="I17" s="17">
        <f>IF(I$4&lt;=$A17,NORM.S.INV((I$4-0.375)/($A17+0.25)),"")</f>
        <v/>
      </c>
      <c r="J17" s="17">
        <f>IF(J$4&lt;=$A17,NORM.S.INV((J$4-0.375)/($A17+0.25)),"")</f>
        <v/>
      </c>
      <c r="K17" s="17">
        <f>IF(K$4&lt;=$A17,NORM.S.INV((K$4-0.375)/($A17+0.25)),"")</f>
        <v/>
      </c>
      <c r="L17" s="17">
        <f>IF(L$4&lt;=$A17,NORM.S.INV((L$4-0.375)/($A17+0.25)),"")</f>
        <v/>
      </c>
      <c r="M17" s="17">
        <f>IF(M$4&lt;=$A17,NORM.S.INV((M$4-0.375)/($A17+0.25)),"")</f>
        <v/>
      </c>
      <c r="N17" s="17">
        <f>IF(N$4&lt;=$A17,NORM.S.INV((N$4-0.375)/($A17+0.25)),"")</f>
        <v/>
      </c>
      <c r="O17" s="17">
        <f>IF(O$4&lt;=$A17,NORM.S.INV((O$4-0.375)/($A17+0.25)),"")</f>
        <v/>
      </c>
      <c r="P17" s="17">
        <f>IF(P$4&lt;=$A17,NORM.S.INV((P$4-0.375)/($A17+0.25)),"")</f>
        <v/>
      </c>
      <c r="Q17" s="17">
        <f>IF(Q$4&lt;=$A17,NORM.S.INV((Q$4-0.375)/($A17+0.25)),"")</f>
        <v/>
      </c>
      <c r="R17" s="17">
        <f>IF(R$4&lt;=$A17,NORM.S.INV((R$4-0.375)/($A17+0.25)),"")</f>
        <v/>
      </c>
      <c r="S17" s="17">
        <f>IF(S$4&lt;=$A17,NORM.S.INV((S$4-0.375)/($A17+0.25)),"")</f>
        <v/>
      </c>
      <c r="T17" s="17">
        <f>IF(T$4&lt;=$A17,NORM.S.INV((T$4-0.375)/($A17+0.25)),"")</f>
        <v/>
      </c>
      <c r="U17" s="17">
        <f>IF(U$4&lt;=$A17,NORM.S.INV((U$4-0.375)/($A17+0.25)),"")</f>
        <v/>
      </c>
      <c r="V17" s="17">
        <f>IF(V$4&lt;=$A17,NORM.S.INV((V$4-0.375)/($A17+0.25)),"")</f>
        <v/>
      </c>
      <c r="W17" s="17">
        <f>IF(W$4&lt;=$A17,NORM.S.INV((W$4-0.375)/($A17+0.25)),"")</f>
        <v/>
      </c>
      <c r="X17" s="17">
        <f>IF(X$4&lt;=$A17,NORM.S.INV((X$4-0.375)/($A17+0.25)),"")</f>
        <v/>
      </c>
      <c r="Y17" s="17">
        <f>IF(Y$4&lt;=$A17,NORM.S.INV((Y$4-0.375)/($A17+0.25)),"")</f>
        <v/>
      </c>
      <c r="Z17" s="17">
        <f>IF(Z$4&lt;=$A17,NORM.S.INV((Z$4-0.375)/($A17+0.25)),"")</f>
        <v/>
      </c>
      <c r="AA17" s="17">
        <f>IF(AA$4&lt;=$A17,NORM.S.INV((AA$4-0.375)/($A17+0.25)),"")</f>
        <v/>
      </c>
      <c r="AB17" s="17">
        <f>IF(AB$4&lt;=$A17,NORM.S.INV((AB$4-0.375)/($A17+0.25)),"")</f>
        <v/>
      </c>
      <c r="AC17" s="17">
        <f>IF(AC$4&lt;=$A17,NORM.S.INV((AC$4-0.375)/($A17+0.25)),"")</f>
        <v/>
      </c>
      <c r="AD17" s="17">
        <f>IF(AD$4&lt;=$A17,NORM.S.INV((AD$4-0.375)/($A17+0.25)),"")</f>
        <v/>
      </c>
      <c r="AE17" s="17">
        <f>IF(AE$4&lt;=$A17,NORM.S.INV((AE$4-0.375)/($A17+0.25)),"")</f>
        <v/>
      </c>
      <c r="AF17" s="17">
        <f>IF(AF$4&lt;=$A17,NORM.S.INV((AF$4-0.375)/($A17+0.25)),"")</f>
        <v/>
      </c>
      <c r="AG17" s="17">
        <f>IF(AG$4&lt;=$A17,NORM.S.INV((AG$4-0.375)/($A17+0.25)),"")</f>
        <v/>
      </c>
      <c r="AH17" s="17">
        <f>IF(AH$4&lt;=$A17,NORM.S.INV((AH$4-0.375)/($A17+0.25)),"")</f>
        <v/>
      </c>
      <c r="AI17" s="17">
        <f>IF(AI$4&lt;=$A17,NORM.S.INV((AI$4-0.375)/($A17+0.25)),"")</f>
        <v/>
      </c>
      <c r="AJ17" s="17">
        <f>IF(AJ$4&lt;=$A17,NORM.S.INV((AJ$4-0.375)/($A17+0.25)),"")</f>
        <v/>
      </c>
      <c r="AK17" s="17">
        <f>IF(AK$4&lt;=$A17,NORM.S.INV((AK$4-0.375)/($A17+0.25)),"")</f>
        <v/>
      </c>
      <c r="AL17" s="17">
        <f>IF(AL$4&lt;=$A17,NORM.S.INV((AL$4-0.375)/($A17+0.25)),"")</f>
        <v/>
      </c>
      <c r="AM17" s="17">
        <f>IF(AM$4&lt;=$A17,NORM.S.INV((AM$4-0.375)/($A17+0.25)),"")</f>
        <v/>
      </c>
      <c r="AN17" s="17">
        <f>IF(AN$4&lt;=$A17,NORM.S.INV((AN$4-0.375)/($A17+0.25)),"")</f>
        <v/>
      </c>
      <c r="AO17" s="17">
        <f>IF(AO$4&lt;=$A17,NORM.S.INV((AO$4-0.375)/($A17+0.25)),"")</f>
        <v/>
      </c>
      <c r="AP17" s="18">
        <f>STDEVP($B17:$AO17)</f>
        <v/>
      </c>
      <c r="AQ17" s="17">
        <f>AP17</f>
        <v/>
      </c>
      <c r="AR17" s="17" t="n">
        <v>0.9181</v>
      </c>
      <c r="AS17" s="19">
        <f>IF(ROUND(AP17,4)=AR17,"PASS","FAIL")</f>
        <v/>
      </c>
    </row>
    <row r="18">
      <c r="A18" s="16" t="n">
        <v>15</v>
      </c>
      <c r="B18" s="17">
        <f>IF(B$4&lt;=$A18,NORM.S.INV((B$4-0.375)/($A18+0.25)),"")</f>
        <v/>
      </c>
      <c r="C18" s="17">
        <f>IF(C$4&lt;=$A18,NORM.S.INV((C$4-0.375)/($A18+0.25)),"")</f>
        <v/>
      </c>
      <c r="D18" s="17">
        <f>IF(D$4&lt;=$A18,NORM.S.INV((D$4-0.375)/($A18+0.25)),"")</f>
        <v/>
      </c>
      <c r="E18" s="17">
        <f>IF(E$4&lt;=$A18,NORM.S.INV((E$4-0.375)/($A18+0.25)),"")</f>
        <v/>
      </c>
      <c r="F18" s="17">
        <f>IF(F$4&lt;=$A18,NORM.S.INV((F$4-0.375)/($A18+0.25)),"")</f>
        <v/>
      </c>
      <c r="G18" s="17">
        <f>IF(G$4&lt;=$A18,NORM.S.INV((G$4-0.375)/($A18+0.25)),"")</f>
        <v/>
      </c>
      <c r="H18" s="17">
        <f>IF(H$4&lt;=$A18,NORM.S.INV((H$4-0.375)/($A18+0.25)),"")</f>
        <v/>
      </c>
      <c r="I18" s="17">
        <f>IF(I$4&lt;=$A18,NORM.S.INV((I$4-0.375)/($A18+0.25)),"")</f>
        <v/>
      </c>
      <c r="J18" s="17">
        <f>IF(J$4&lt;=$A18,NORM.S.INV((J$4-0.375)/($A18+0.25)),"")</f>
        <v/>
      </c>
      <c r="K18" s="17">
        <f>IF(K$4&lt;=$A18,NORM.S.INV((K$4-0.375)/($A18+0.25)),"")</f>
        <v/>
      </c>
      <c r="L18" s="17">
        <f>IF(L$4&lt;=$A18,NORM.S.INV((L$4-0.375)/($A18+0.25)),"")</f>
        <v/>
      </c>
      <c r="M18" s="17">
        <f>IF(M$4&lt;=$A18,NORM.S.INV((M$4-0.375)/($A18+0.25)),"")</f>
        <v/>
      </c>
      <c r="N18" s="17">
        <f>IF(N$4&lt;=$A18,NORM.S.INV((N$4-0.375)/($A18+0.25)),"")</f>
        <v/>
      </c>
      <c r="O18" s="17">
        <f>IF(O$4&lt;=$A18,NORM.S.INV((O$4-0.375)/($A18+0.25)),"")</f>
        <v/>
      </c>
      <c r="P18" s="17">
        <f>IF(P$4&lt;=$A18,NORM.S.INV((P$4-0.375)/($A18+0.25)),"")</f>
        <v/>
      </c>
      <c r="Q18" s="17">
        <f>IF(Q$4&lt;=$A18,NORM.S.INV((Q$4-0.375)/($A18+0.25)),"")</f>
        <v/>
      </c>
      <c r="R18" s="17">
        <f>IF(R$4&lt;=$A18,NORM.S.INV((R$4-0.375)/($A18+0.25)),"")</f>
        <v/>
      </c>
      <c r="S18" s="17">
        <f>IF(S$4&lt;=$A18,NORM.S.INV((S$4-0.375)/($A18+0.25)),"")</f>
        <v/>
      </c>
      <c r="T18" s="17">
        <f>IF(T$4&lt;=$A18,NORM.S.INV((T$4-0.375)/($A18+0.25)),"")</f>
        <v/>
      </c>
      <c r="U18" s="17">
        <f>IF(U$4&lt;=$A18,NORM.S.INV((U$4-0.375)/($A18+0.25)),"")</f>
        <v/>
      </c>
      <c r="V18" s="17">
        <f>IF(V$4&lt;=$A18,NORM.S.INV((V$4-0.375)/($A18+0.25)),"")</f>
        <v/>
      </c>
      <c r="W18" s="17">
        <f>IF(W$4&lt;=$A18,NORM.S.INV((W$4-0.375)/($A18+0.25)),"")</f>
        <v/>
      </c>
      <c r="X18" s="17">
        <f>IF(X$4&lt;=$A18,NORM.S.INV((X$4-0.375)/($A18+0.25)),"")</f>
        <v/>
      </c>
      <c r="Y18" s="17">
        <f>IF(Y$4&lt;=$A18,NORM.S.INV((Y$4-0.375)/($A18+0.25)),"")</f>
        <v/>
      </c>
      <c r="Z18" s="17">
        <f>IF(Z$4&lt;=$A18,NORM.S.INV((Z$4-0.375)/($A18+0.25)),"")</f>
        <v/>
      </c>
      <c r="AA18" s="17">
        <f>IF(AA$4&lt;=$A18,NORM.S.INV((AA$4-0.375)/($A18+0.25)),"")</f>
        <v/>
      </c>
      <c r="AB18" s="17">
        <f>IF(AB$4&lt;=$A18,NORM.S.INV((AB$4-0.375)/($A18+0.25)),"")</f>
        <v/>
      </c>
      <c r="AC18" s="17">
        <f>IF(AC$4&lt;=$A18,NORM.S.INV((AC$4-0.375)/($A18+0.25)),"")</f>
        <v/>
      </c>
      <c r="AD18" s="17">
        <f>IF(AD$4&lt;=$A18,NORM.S.INV((AD$4-0.375)/($A18+0.25)),"")</f>
        <v/>
      </c>
      <c r="AE18" s="17">
        <f>IF(AE$4&lt;=$A18,NORM.S.INV((AE$4-0.375)/($A18+0.25)),"")</f>
        <v/>
      </c>
      <c r="AF18" s="17">
        <f>IF(AF$4&lt;=$A18,NORM.S.INV((AF$4-0.375)/($A18+0.25)),"")</f>
        <v/>
      </c>
      <c r="AG18" s="17">
        <f>IF(AG$4&lt;=$A18,NORM.S.INV((AG$4-0.375)/($A18+0.25)),"")</f>
        <v/>
      </c>
      <c r="AH18" s="17">
        <f>IF(AH$4&lt;=$A18,NORM.S.INV((AH$4-0.375)/($A18+0.25)),"")</f>
        <v/>
      </c>
      <c r="AI18" s="17">
        <f>IF(AI$4&lt;=$A18,NORM.S.INV((AI$4-0.375)/($A18+0.25)),"")</f>
        <v/>
      </c>
      <c r="AJ18" s="17">
        <f>IF(AJ$4&lt;=$A18,NORM.S.INV((AJ$4-0.375)/($A18+0.25)),"")</f>
        <v/>
      </c>
      <c r="AK18" s="17">
        <f>IF(AK$4&lt;=$A18,NORM.S.INV((AK$4-0.375)/($A18+0.25)),"")</f>
        <v/>
      </c>
      <c r="AL18" s="17">
        <f>IF(AL$4&lt;=$A18,NORM.S.INV((AL$4-0.375)/($A18+0.25)),"")</f>
        <v/>
      </c>
      <c r="AM18" s="17">
        <f>IF(AM$4&lt;=$A18,NORM.S.INV((AM$4-0.375)/($A18+0.25)),"")</f>
        <v/>
      </c>
      <c r="AN18" s="17">
        <f>IF(AN$4&lt;=$A18,NORM.S.INV((AN$4-0.375)/($A18+0.25)),"")</f>
        <v/>
      </c>
      <c r="AO18" s="17">
        <f>IF(AO$4&lt;=$A18,NORM.S.INV((AO$4-0.375)/($A18+0.25)),"")</f>
        <v/>
      </c>
      <c r="AP18" s="18">
        <f>STDEVP($B18:$AO18)</f>
        <v/>
      </c>
      <c r="AQ18" s="17">
        <f>AP18</f>
        <v/>
      </c>
      <c r="AR18" s="17" t="n">
        <v>0.9226</v>
      </c>
      <c r="AS18" s="19">
        <f>IF(ROUND(AP18,4)=AR18,"PASS","FAIL")</f>
        <v/>
      </c>
    </row>
    <row r="19">
      <c r="A19" s="16" t="n">
        <v>16</v>
      </c>
      <c r="B19" s="17">
        <f>IF(B$4&lt;=$A19,NORM.S.INV((B$4-0.375)/($A19+0.25)),"")</f>
        <v/>
      </c>
      <c r="C19" s="17">
        <f>IF(C$4&lt;=$A19,NORM.S.INV((C$4-0.375)/($A19+0.25)),"")</f>
        <v/>
      </c>
      <c r="D19" s="17">
        <f>IF(D$4&lt;=$A19,NORM.S.INV((D$4-0.375)/($A19+0.25)),"")</f>
        <v/>
      </c>
      <c r="E19" s="17">
        <f>IF(E$4&lt;=$A19,NORM.S.INV((E$4-0.375)/($A19+0.25)),"")</f>
        <v/>
      </c>
      <c r="F19" s="17">
        <f>IF(F$4&lt;=$A19,NORM.S.INV((F$4-0.375)/($A19+0.25)),"")</f>
        <v/>
      </c>
      <c r="G19" s="17">
        <f>IF(G$4&lt;=$A19,NORM.S.INV((G$4-0.375)/($A19+0.25)),"")</f>
        <v/>
      </c>
      <c r="H19" s="17">
        <f>IF(H$4&lt;=$A19,NORM.S.INV((H$4-0.375)/($A19+0.25)),"")</f>
        <v/>
      </c>
      <c r="I19" s="17">
        <f>IF(I$4&lt;=$A19,NORM.S.INV((I$4-0.375)/($A19+0.25)),"")</f>
        <v/>
      </c>
      <c r="J19" s="17">
        <f>IF(J$4&lt;=$A19,NORM.S.INV((J$4-0.375)/($A19+0.25)),"")</f>
        <v/>
      </c>
      <c r="K19" s="17">
        <f>IF(K$4&lt;=$A19,NORM.S.INV((K$4-0.375)/($A19+0.25)),"")</f>
        <v/>
      </c>
      <c r="L19" s="17">
        <f>IF(L$4&lt;=$A19,NORM.S.INV((L$4-0.375)/($A19+0.25)),"")</f>
        <v/>
      </c>
      <c r="M19" s="17">
        <f>IF(M$4&lt;=$A19,NORM.S.INV((M$4-0.375)/($A19+0.25)),"")</f>
        <v/>
      </c>
      <c r="N19" s="17">
        <f>IF(N$4&lt;=$A19,NORM.S.INV((N$4-0.375)/($A19+0.25)),"")</f>
        <v/>
      </c>
      <c r="O19" s="17">
        <f>IF(O$4&lt;=$A19,NORM.S.INV((O$4-0.375)/($A19+0.25)),"")</f>
        <v/>
      </c>
      <c r="P19" s="17">
        <f>IF(P$4&lt;=$A19,NORM.S.INV((P$4-0.375)/($A19+0.25)),"")</f>
        <v/>
      </c>
      <c r="Q19" s="17">
        <f>IF(Q$4&lt;=$A19,NORM.S.INV((Q$4-0.375)/($A19+0.25)),"")</f>
        <v/>
      </c>
      <c r="R19" s="17">
        <f>IF(R$4&lt;=$A19,NORM.S.INV((R$4-0.375)/($A19+0.25)),"")</f>
        <v/>
      </c>
      <c r="S19" s="17">
        <f>IF(S$4&lt;=$A19,NORM.S.INV((S$4-0.375)/($A19+0.25)),"")</f>
        <v/>
      </c>
      <c r="T19" s="17">
        <f>IF(T$4&lt;=$A19,NORM.S.INV((T$4-0.375)/($A19+0.25)),"")</f>
        <v/>
      </c>
      <c r="U19" s="17">
        <f>IF(U$4&lt;=$A19,NORM.S.INV((U$4-0.375)/($A19+0.25)),"")</f>
        <v/>
      </c>
      <c r="V19" s="17">
        <f>IF(V$4&lt;=$A19,NORM.S.INV((V$4-0.375)/($A19+0.25)),"")</f>
        <v/>
      </c>
      <c r="W19" s="17">
        <f>IF(W$4&lt;=$A19,NORM.S.INV((W$4-0.375)/($A19+0.25)),"")</f>
        <v/>
      </c>
      <c r="X19" s="17">
        <f>IF(X$4&lt;=$A19,NORM.S.INV((X$4-0.375)/($A19+0.25)),"")</f>
        <v/>
      </c>
      <c r="Y19" s="17">
        <f>IF(Y$4&lt;=$A19,NORM.S.INV((Y$4-0.375)/($A19+0.25)),"")</f>
        <v/>
      </c>
      <c r="Z19" s="17">
        <f>IF(Z$4&lt;=$A19,NORM.S.INV((Z$4-0.375)/($A19+0.25)),"")</f>
        <v/>
      </c>
      <c r="AA19" s="17">
        <f>IF(AA$4&lt;=$A19,NORM.S.INV((AA$4-0.375)/($A19+0.25)),"")</f>
        <v/>
      </c>
      <c r="AB19" s="17">
        <f>IF(AB$4&lt;=$A19,NORM.S.INV((AB$4-0.375)/($A19+0.25)),"")</f>
        <v/>
      </c>
      <c r="AC19" s="17">
        <f>IF(AC$4&lt;=$A19,NORM.S.INV((AC$4-0.375)/($A19+0.25)),"")</f>
        <v/>
      </c>
      <c r="AD19" s="17">
        <f>IF(AD$4&lt;=$A19,NORM.S.INV((AD$4-0.375)/($A19+0.25)),"")</f>
        <v/>
      </c>
      <c r="AE19" s="17">
        <f>IF(AE$4&lt;=$A19,NORM.S.INV((AE$4-0.375)/($A19+0.25)),"")</f>
        <v/>
      </c>
      <c r="AF19" s="17">
        <f>IF(AF$4&lt;=$A19,NORM.S.INV((AF$4-0.375)/($A19+0.25)),"")</f>
        <v/>
      </c>
      <c r="AG19" s="17">
        <f>IF(AG$4&lt;=$A19,NORM.S.INV((AG$4-0.375)/($A19+0.25)),"")</f>
        <v/>
      </c>
      <c r="AH19" s="17">
        <f>IF(AH$4&lt;=$A19,NORM.S.INV((AH$4-0.375)/($A19+0.25)),"")</f>
        <v/>
      </c>
      <c r="AI19" s="17">
        <f>IF(AI$4&lt;=$A19,NORM.S.INV((AI$4-0.375)/($A19+0.25)),"")</f>
        <v/>
      </c>
      <c r="AJ19" s="17">
        <f>IF(AJ$4&lt;=$A19,NORM.S.INV((AJ$4-0.375)/($A19+0.25)),"")</f>
        <v/>
      </c>
      <c r="AK19" s="17">
        <f>IF(AK$4&lt;=$A19,NORM.S.INV((AK$4-0.375)/($A19+0.25)),"")</f>
        <v/>
      </c>
      <c r="AL19" s="17">
        <f>IF(AL$4&lt;=$A19,NORM.S.INV((AL$4-0.375)/($A19+0.25)),"")</f>
        <v/>
      </c>
      <c r="AM19" s="17">
        <f>IF(AM$4&lt;=$A19,NORM.S.INV((AM$4-0.375)/($A19+0.25)),"")</f>
        <v/>
      </c>
      <c r="AN19" s="17">
        <f>IF(AN$4&lt;=$A19,NORM.S.INV((AN$4-0.375)/($A19+0.25)),"")</f>
        <v/>
      </c>
      <c r="AO19" s="17">
        <f>IF(AO$4&lt;=$A19,NORM.S.INV((AO$4-0.375)/($A19+0.25)),"")</f>
        <v/>
      </c>
      <c r="AP19" s="18">
        <f>STDEVP($B19:$AO19)</f>
        <v/>
      </c>
      <c r="AQ19" s="17">
        <f>AP19</f>
        <v/>
      </c>
      <c r="AR19" s="17" t="n">
        <v>0.9266</v>
      </c>
      <c r="AS19" s="19">
        <f>IF(ROUND(AP19,4)=AR19,"PASS","FAIL")</f>
        <v/>
      </c>
    </row>
    <row r="20">
      <c r="A20" s="16" t="n">
        <v>17</v>
      </c>
      <c r="B20" s="17">
        <f>IF(B$4&lt;=$A20,NORM.S.INV((B$4-0.375)/($A20+0.25)),"")</f>
        <v/>
      </c>
      <c r="C20" s="17">
        <f>IF(C$4&lt;=$A20,NORM.S.INV((C$4-0.375)/($A20+0.25)),"")</f>
        <v/>
      </c>
      <c r="D20" s="17">
        <f>IF(D$4&lt;=$A20,NORM.S.INV((D$4-0.375)/($A20+0.25)),"")</f>
        <v/>
      </c>
      <c r="E20" s="17">
        <f>IF(E$4&lt;=$A20,NORM.S.INV((E$4-0.375)/($A20+0.25)),"")</f>
        <v/>
      </c>
      <c r="F20" s="17">
        <f>IF(F$4&lt;=$A20,NORM.S.INV((F$4-0.375)/($A20+0.25)),"")</f>
        <v/>
      </c>
      <c r="G20" s="17">
        <f>IF(G$4&lt;=$A20,NORM.S.INV((G$4-0.375)/($A20+0.25)),"")</f>
        <v/>
      </c>
      <c r="H20" s="17">
        <f>IF(H$4&lt;=$A20,NORM.S.INV((H$4-0.375)/($A20+0.25)),"")</f>
        <v/>
      </c>
      <c r="I20" s="17">
        <f>IF(I$4&lt;=$A20,NORM.S.INV((I$4-0.375)/($A20+0.25)),"")</f>
        <v/>
      </c>
      <c r="J20" s="17">
        <f>IF(J$4&lt;=$A20,NORM.S.INV((J$4-0.375)/($A20+0.25)),"")</f>
        <v/>
      </c>
      <c r="K20" s="17">
        <f>IF(K$4&lt;=$A20,NORM.S.INV((K$4-0.375)/($A20+0.25)),"")</f>
        <v/>
      </c>
      <c r="L20" s="17">
        <f>IF(L$4&lt;=$A20,NORM.S.INV((L$4-0.375)/($A20+0.25)),"")</f>
        <v/>
      </c>
      <c r="M20" s="17">
        <f>IF(M$4&lt;=$A20,NORM.S.INV((M$4-0.375)/($A20+0.25)),"")</f>
        <v/>
      </c>
      <c r="N20" s="17">
        <f>IF(N$4&lt;=$A20,NORM.S.INV((N$4-0.375)/($A20+0.25)),"")</f>
        <v/>
      </c>
      <c r="O20" s="17">
        <f>IF(O$4&lt;=$A20,NORM.S.INV((O$4-0.375)/($A20+0.25)),"")</f>
        <v/>
      </c>
      <c r="P20" s="17">
        <f>IF(P$4&lt;=$A20,NORM.S.INV((P$4-0.375)/($A20+0.25)),"")</f>
        <v/>
      </c>
      <c r="Q20" s="17">
        <f>IF(Q$4&lt;=$A20,NORM.S.INV((Q$4-0.375)/($A20+0.25)),"")</f>
        <v/>
      </c>
      <c r="R20" s="17">
        <f>IF(R$4&lt;=$A20,NORM.S.INV((R$4-0.375)/($A20+0.25)),"")</f>
        <v/>
      </c>
      <c r="S20" s="17">
        <f>IF(S$4&lt;=$A20,NORM.S.INV((S$4-0.375)/($A20+0.25)),"")</f>
        <v/>
      </c>
      <c r="T20" s="17">
        <f>IF(T$4&lt;=$A20,NORM.S.INV((T$4-0.375)/($A20+0.25)),"")</f>
        <v/>
      </c>
      <c r="U20" s="17">
        <f>IF(U$4&lt;=$A20,NORM.S.INV((U$4-0.375)/($A20+0.25)),"")</f>
        <v/>
      </c>
      <c r="V20" s="17">
        <f>IF(V$4&lt;=$A20,NORM.S.INV((V$4-0.375)/($A20+0.25)),"")</f>
        <v/>
      </c>
      <c r="W20" s="17">
        <f>IF(W$4&lt;=$A20,NORM.S.INV((W$4-0.375)/($A20+0.25)),"")</f>
        <v/>
      </c>
      <c r="X20" s="17">
        <f>IF(X$4&lt;=$A20,NORM.S.INV((X$4-0.375)/($A20+0.25)),"")</f>
        <v/>
      </c>
      <c r="Y20" s="17">
        <f>IF(Y$4&lt;=$A20,NORM.S.INV((Y$4-0.375)/($A20+0.25)),"")</f>
        <v/>
      </c>
      <c r="Z20" s="17">
        <f>IF(Z$4&lt;=$A20,NORM.S.INV((Z$4-0.375)/($A20+0.25)),"")</f>
        <v/>
      </c>
      <c r="AA20" s="17">
        <f>IF(AA$4&lt;=$A20,NORM.S.INV((AA$4-0.375)/($A20+0.25)),"")</f>
        <v/>
      </c>
      <c r="AB20" s="17">
        <f>IF(AB$4&lt;=$A20,NORM.S.INV((AB$4-0.375)/($A20+0.25)),"")</f>
        <v/>
      </c>
      <c r="AC20" s="17">
        <f>IF(AC$4&lt;=$A20,NORM.S.INV((AC$4-0.375)/($A20+0.25)),"")</f>
        <v/>
      </c>
      <c r="AD20" s="17">
        <f>IF(AD$4&lt;=$A20,NORM.S.INV((AD$4-0.375)/($A20+0.25)),"")</f>
        <v/>
      </c>
      <c r="AE20" s="17">
        <f>IF(AE$4&lt;=$A20,NORM.S.INV((AE$4-0.375)/($A20+0.25)),"")</f>
        <v/>
      </c>
      <c r="AF20" s="17">
        <f>IF(AF$4&lt;=$A20,NORM.S.INV((AF$4-0.375)/($A20+0.25)),"")</f>
        <v/>
      </c>
      <c r="AG20" s="17">
        <f>IF(AG$4&lt;=$A20,NORM.S.INV((AG$4-0.375)/($A20+0.25)),"")</f>
        <v/>
      </c>
      <c r="AH20" s="17">
        <f>IF(AH$4&lt;=$A20,NORM.S.INV((AH$4-0.375)/($A20+0.25)),"")</f>
        <v/>
      </c>
      <c r="AI20" s="17">
        <f>IF(AI$4&lt;=$A20,NORM.S.INV((AI$4-0.375)/($A20+0.25)),"")</f>
        <v/>
      </c>
      <c r="AJ20" s="17">
        <f>IF(AJ$4&lt;=$A20,NORM.S.INV((AJ$4-0.375)/($A20+0.25)),"")</f>
        <v/>
      </c>
      <c r="AK20" s="17">
        <f>IF(AK$4&lt;=$A20,NORM.S.INV((AK$4-0.375)/($A20+0.25)),"")</f>
        <v/>
      </c>
      <c r="AL20" s="17">
        <f>IF(AL$4&lt;=$A20,NORM.S.INV((AL$4-0.375)/($A20+0.25)),"")</f>
        <v/>
      </c>
      <c r="AM20" s="17">
        <f>IF(AM$4&lt;=$A20,NORM.S.INV((AM$4-0.375)/($A20+0.25)),"")</f>
        <v/>
      </c>
      <c r="AN20" s="17">
        <f>IF(AN$4&lt;=$A20,NORM.S.INV((AN$4-0.375)/($A20+0.25)),"")</f>
        <v/>
      </c>
      <c r="AO20" s="17">
        <f>IF(AO$4&lt;=$A20,NORM.S.INV((AO$4-0.375)/($A20+0.25)),"")</f>
        <v/>
      </c>
      <c r="AP20" s="18">
        <f>STDEVP($B20:$AO20)</f>
        <v/>
      </c>
      <c r="AQ20" s="17">
        <f>AP20</f>
        <v/>
      </c>
      <c r="AR20" s="19" t="inlineStr">
        <is>
          <t>—</t>
        </is>
      </c>
      <c r="AS20" s="20" t="inlineStr">
        <is>
          <t>참고값 없음 (s=1 적용)</t>
        </is>
      </c>
    </row>
    <row r="21">
      <c r="A21" s="16" t="n">
        <v>18</v>
      </c>
      <c r="B21" s="17">
        <f>IF(B$4&lt;=$A21,NORM.S.INV((B$4-0.375)/($A21+0.25)),"")</f>
        <v/>
      </c>
      <c r="C21" s="17">
        <f>IF(C$4&lt;=$A21,NORM.S.INV((C$4-0.375)/($A21+0.25)),"")</f>
        <v/>
      </c>
      <c r="D21" s="17">
        <f>IF(D$4&lt;=$A21,NORM.S.INV((D$4-0.375)/($A21+0.25)),"")</f>
        <v/>
      </c>
      <c r="E21" s="17">
        <f>IF(E$4&lt;=$A21,NORM.S.INV((E$4-0.375)/($A21+0.25)),"")</f>
        <v/>
      </c>
      <c r="F21" s="17">
        <f>IF(F$4&lt;=$A21,NORM.S.INV((F$4-0.375)/($A21+0.25)),"")</f>
        <v/>
      </c>
      <c r="G21" s="17">
        <f>IF(G$4&lt;=$A21,NORM.S.INV((G$4-0.375)/($A21+0.25)),"")</f>
        <v/>
      </c>
      <c r="H21" s="17">
        <f>IF(H$4&lt;=$A21,NORM.S.INV((H$4-0.375)/($A21+0.25)),"")</f>
        <v/>
      </c>
      <c r="I21" s="17">
        <f>IF(I$4&lt;=$A21,NORM.S.INV((I$4-0.375)/($A21+0.25)),"")</f>
        <v/>
      </c>
      <c r="J21" s="17">
        <f>IF(J$4&lt;=$A21,NORM.S.INV((J$4-0.375)/($A21+0.25)),"")</f>
        <v/>
      </c>
      <c r="K21" s="17">
        <f>IF(K$4&lt;=$A21,NORM.S.INV((K$4-0.375)/($A21+0.25)),"")</f>
        <v/>
      </c>
      <c r="L21" s="17">
        <f>IF(L$4&lt;=$A21,NORM.S.INV((L$4-0.375)/($A21+0.25)),"")</f>
        <v/>
      </c>
      <c r="M21" s="17">
        <f>IF(M$4&lt;=$A21,NORM.S.INV((M$4-0.375)/($A21+0.25)),"")</f>
        <v/>
      </c>
      <c r="N21" s="17">
        <f>IF(N$4&lt;=$A21,NORM.S.INV((N$4-0.375)/($A21+0.25)),"")</f>
        <v/>
      </c>
      <c r="O21" s="17">
        <f>IF(O$4&lt;=$A21,NORM.S.INV((O$4-0.375)/($A21+0.25)),"")</f>
        <v/>
      </c>
      <c r="P21" s="17">
        <f>IF(P$4&lt;=$A21,NORM.S.INV((P$4-0.375)/($A21+0.25)),"")</f>
        <v/>
      </c>
      <c r="Q21" s="17">
        <f>IF(Q$4&lt;=$A21,NORM.S.INV((Q$4-0.375)/($A21+0.25)),"")</f>
        <v/>
      </c>
      <c r="R21" s="17">
        <f>IF(R$4&lt;=$A21,NORM.S.INV((R$4-0.375)/($A21+0.25)),"")</f>
        <v/>
      </c>
      <c r="S21" s="17">
        <f>IF(S$4&lt;=$A21,NORM.S.INV((S$4-0.375)/($A21+0.25)),"")</f>
        <v/>
      </c>
      <c r="T21" s="17">
        <f>IF(T$4&lt;=$A21,NORM.S.INV((T$4-0.375)/($A21+0.25)),"")</f>
        <v/>
      </c>
      <c r="U21" s="17">
        <f>IF(U$4&lt;=$A21,NORM.S.INV((U$4-0.375)/($A21+0.25)),"")</f>
        <v/>
      </c>
      <c r="V21" s="17">
        <f>IF(V$4&lt;=$A21,NORM.S.INV((V$4-0.375)/($A21+0.25)),"")</f>
        <v/>
      </c>
      <c r="W21" s="17">
        <f>IF(W$4&lt;=$A21,NORM.S.INV((W$4-0.375)/($A21+0.25)),"")</f>
        <v/>
      </c>
      <c r="X21" s="17">
        <f>IF(X$4&lt;=$A21,NORM.S.INV((X$4-0.375)/($A21+0.25)),"")</f>
        <v/>
      </c>
      <c r="Y21" s="17">
        <f>IF(Y$4&lt;=$A21,NORM.S.INV((Y$4-0.375)/($A21+0.25)),"")</f>
        <v/>
      </c>
      <c r="Z21" s="17">
        <f>IF(Z$4&lt;=$A21,NORM.S.INV((Z$4-0.375)/($A21+0.25)),"")</f>
        <v/>
      </c>
      <c r="AA21" s="17">
        <f>IF(AA$4&lt;=$A21,NORM.S.INV((AA$4-0.375)/($A21+0.25)),"")</f>
        <v/>
      </c>
      <c r="AB21" s="17">
        <f>IF(AB$4&lt;=$A21,NORM.S.INV((AB$4-0.375)/($A21+0.25)),"")</f>
        <v/>
      </c>
      <c r="AC21" s="17">
        <f>IF(AC$4&lt;=$A21,NORM.S.INV((AC$4-0.375)/($A21+0.25)),"")</f>
        <v/>
      </c>
      <c r="AD21" s="17">
        <f>IF(AD$4&lt;=$A21,NORM.S.INV((AD$4-0.375)/($A21+0.25)),"")</f>
        <v/>
      </c>
      <c r="AE21" s="17">
        <f>IF(AE$4&lt;=$A21,NORM.S.INV((AE$4-0.375)/($A21+0.25)),"")</f>
        <v/>
      </c>
      <c r="AF21" s="17">
        <f>IF(AF$4&lt;=$A21,NORM.S.INV((AF$4-0.375)/($A21+0.25)),"")</f>
        <v/>
      </c>
      <c r="AG21" s="17">
        <f>IF(AG$4&lt;=$A21,NORM.S.INV((AG$4-0.375)/($A21+0.25)),"")</f>
        <v/>
      </c>
      <c r="AH21" s="17">
        <f>IF(AH$4&lt;=$A21,NORM.S.INV((AH$4-0.375)/($A21+0.25)),"")</f>
        <v/>
      </c>
      <c r="AI21" s="17">
        <f>IF(AI$4&lt;=$A21,NORM.S.INV((AI$4-0.375)/($A21+0.25)),"")</f>
        <v/>
      </c>
      <c r="AJ21" s="17">
        <f>IF(AJ$4&lt;=$A21,NORM.S.INV((AJ$4-0.375)/($A21+0.25)),"")</f>
        <v/>
      </c>
      <c r="AK21" s="17">
        <f>IF(AK$4&lt;=$A21,NORM.S.INV((AK$4-0.375)/($A21+0.25)),"")</f>
        <v/>
      </c>
      <c r="AL21" s="17">
        <f>IF(AL$4&lt;=$A21,NORM.S.INV((AL$4-0.375)/($A21+0.25)),"")</f>
        <v/>
      </c>
      <c r="AM21" s="17">
        <f>IF(AM$4&lt;=$A21,NORM.S.INV((AM$4-0.375)/($A21+0.25)),"")</f>
        <v/>
      </c>
      <c r="AN21" s="17">
        <f>IF(AN$4&lt;=$A21,NORM.S.INV((AN$4-0.375)/($A21+0.25)),"")</f>
        <v/>
      </c>
      <c r="AO21" s="17">
        <f>IF(AO$4&lt;=$A21,NORM.S.INV((AO$4-0.375)/($A21+0.25)),"")</f>
        <v/>
      </c>
      <c r="AP21" s="18">
        <f>STDEVP($B21:$AO21)</f>
        <v/>
      </c>
      <c r="AQ21" s="17">
        <f>AP21</f>
        <v/>
      </c>
      <c r="AR21" s="19" t="inlineStr">
        <is>
          <t>—</t>
        </is>
      </c>
      <c r="AS21" s="20" t="inlineStr">
        <is>
          <t>참고값 없음 (s=1 적용)</t>
        </is>
      </c>
    </row>
    <row r="22">
      <c r="A22" s="16" t="n">
        <v>19</v>
      </c>
      <c r="B22" s="17">
        <f>IF(B$4&lt;=$A22,NORM.S.INV((B$4-0.375)/($A22+0.25)),"")</f>
        <v/>
      </c>
      <c r="C22" s="17">
        <f>IF(C$4&lt;=$A22,NORM.S.INV((C$4-0.375)/($A22+0.25)),"")</f>
        <v/>
      </c>
      <c r="D22" s="17">
        <f>IF(D$4&lt;=$A22,NORM.S.INV((D$4-0.375)/($A22+0.25)),"")</f>
        <v/>
      </c>
      <c r="E22" s="17">
        <f>IF(E$4&lt;=$A22,NORM.S.INV((E$4-0.375)/($A22+0.25)),"")</f>
        <v/>
      </c>
      <c r="F22" s="17">
        <f>IF(F$4&lt;=$A22,NORM.S.INV((F$4-0.375)/($A22+0.25)),"")</f>
        <v/>
      </c>
      <c r="G22" s="17">
        <f>IF(G$4&lt;=$A22,NORM.S.INV((G$4-0.375)/($A22+0.25)),"")</f>
        <v/>
      </c>
      <c r="H22" s="17">
        <f>IF(H$4&lt;=$A22,NORM.S.INV((H$4-0.375)/($A22+0.25)),"")</f>
        <v/>
      </c>
      <c r="I22" s="17">
        <f>IF(I$4&lt;=$A22,NORM.S.INV((I$4-0.375)/($A22+0.25)),"")</f>
        <v/>
      </c>
      <c r="J22" s="17">
        <f>IF(J$4&lt;=$A22,NORM.S.INV((J$4-0.375)/($A22+0.25)),"")</f>
        <v/>
      </c>
      <c r="K22" s="17">
        <f>IF(K$4&lt;=$A22,NORM.S.INV((K$4-0.375)/($A22+0.25)),"")</f>
        <v/>
      </c>
      <c r="L22" s="17">
        <f>IF(L$4&lt;=$A22,NORM.S.INV((L$4-0.375)/($A22+0.25)),"")</f>
        <v/>
      </c>
      <c r="M22" s="17">
        <f>IF(M$4&lt;=$A22,NORM.S.INV((M$4-0.375)/($A22+0.25)),"")</f>
        <v/>
      </c>
      <c r="N22" s="17">
        <f>IF(N$4&lt;=$A22,NORM.S.INV((N$4-0.375)/($A22+0.25)),"")</f>
        <v/>
      </c>
      <c r="O22" s="17">
        <f>IF(O$4&lt;=$A22,NORM.S.INV((O$4-0.375)/($A22+0.25)),"")</f>
        <v/>
      </c>
      <c r="P22" s="17">
        <f>IF(P$4&lt;=$A22,NORM.S.INV((P$4-0.375)/($A22+0.25)),"")</f>
        <v/>
      </c>
      <c r="Q22" s="17">
        <f>IF(Q$4&lt;=$A22,NORM.S.INV((Q$4-0.375)/($A22+0.25)),"")</f>
        <v/>
      </c>
      <c r="R22" s="17">
        <f>IF(R$4&lt;=$A22,NORM.S.INV((R$4-0.375)/($A22+0.25)),"")</f>
        <v/>
      </c>
      <c r="S22" s="17">
        <f>IF(S$4&lt;=$A22,NORM.S.INV((S$4-0.375)/($A22+0.25)),"")</f>
        <v/>
      </c>
      <c r="T22" s="17">
        <f>IF(T$4&lt;=$A22,NORM.S.INV((T$4-0.375)/($A22+0.25)),"")</f>
        <v/>
      </c>
      <c r="U22" s="17">
        <f>IF(U$4&lt;=$A22,NORM.S.INV((U$4-0.375)/($A22+0.25)),"")</f>
        <v/>
      </c>
      <c r="V22" s="17">
        <f>IF(V$4&lt;=$A22,NORM.S.INV((V$4-0.375)/($A22+0.25)),"")</f>
        <v/>
      </c>
      <c r="W22" s="17">
        <f>IF(W$4&lt;=$A22,NORM.S.INV((W$4-0.375)/($A22+0.25)),"")</f>
        <v/>
      </c>
      <c r="X22" s="17">
        <f>IF(X$4&lt;=$A22,NORM.S.INV((X$4-0.375)/($A22+0.25)),"")</f>
        <v/>
      </c>
      <c r="Y22" s="17">
        <f>IF(Y$4&lt;=$A22,NORM.S.INV((Y$4-0.375)/($A22+0.25)),"")</f>
        <v/>
      </c>
      <c r="Z22" s="17">
        <f>IF(Z$4&lt;=$A22,NORM.S.INV((Z$4-0.375)/($A22+0.25)),"")</f>
        <v/>
      </c>
      <c r="AA22" s="17">
        <f>IF(AA$4&lt;=$A22,NORM.S.INV((AA$4-0.375)/($A22+0.25)),"")</f>
        <v/>
      </c>
      <c r="AB22" s="17">
        <f>IF(AB$4&lt;=$A22,NORM.S.INV((AB$4-0.375)/($A22+0.25)),"")</f>
        <v/>
      </c>
      <c r="AC22" s="17">
        <f>IF(AC$4&lt;=$A22,NORM.S.INV((AC$4-0.375)/($A22+0.25)),"")</f>
        <v/>
      </c>
      <c r="AD22" s="17">
        <f>IF(AD$4&lt;=$A22,NORM.S.INV((AD$4-0.375)/($A22+0.25)),"")</f>
        <v/>
      </c>
      <c r="AE22" s="17">
        <f>IF(AE$4&lt;=$A22,NORM.S.INV((AE$4-0.375)/($A22+0.25)),"")</f>
        <v/>
      </c>
      <c r="AF22" s="17">
        <f>IF(AF$4&lt;=$A22,NORM.S.INV((AF$4-0.375)/($A22+0.25)),"")</f>
        <v/>
      </c>
      <c r="AG22" s="17">
        <f>IF(AG$4&lt;=$A22,NORM.S.INV((AG$4-0.375)/($A22+0.25)),"")</f>
        <v/>
      </c>
      <c r="AH22" s="17">
        <f>IF(AH$4&lt;=$A22,NORM.S.INV((AH$4-0.375)/($A22+0.25)),"")</f>
        <v/>
      </c>
      <c r="AI22" s="17">
        <f>IF(AI$4&lt;=$A22,NORM.S.INV((AI$4-0.375)/($A22+0.25)),"")</f>
        <v/>
      </c>
      <c r="AJ22" s="17">
        <f>IF(AJ$4&lt;=$A22,NORM.S.INV((AJ$4-0.375)/($A22+0.25)),"")</f>
        <v/>
      </c>
      <c r="AK22" s="17">
        <f>IF(AK$4&lt;=$A22,NORM.S.INV((AK$4-0.375)/($A22+0.25)),"")</f>
        <v/>
      </c>
      <c r="AL22" s="17">
        <f>IF(AL$4&lt;=$A22,NORM.S.INV((AL$4-0.375)/($A22+0.25)),"")</f>
        <v/>
      </c>
      <c r="AM22" s="17">
        <f>IF(AM$4&lt;=$A22,NORM.S.INV((AM$4-0.375)/($A22+0.25)),"")</f>
        <v/>
      </c>
      <c r="AN22" s="17">
        <f>IF(AN$4&lt;=$A22,NORM.S.INV((AN$4-0.375)/($A22+0.25)),"")</f>
        <v/>
      </c>
      <c r="AO22" s="17">
        <f>IF(AO$4&lt;=$A22,NORM.S.INV((AO$4-0.375)/($A22+0.25)),"")</f>
        <v/>
      </c>
      <c r="AP22" s="18">
        <f>STDEVP($B22:$AO22)</f>
        <v/>
      </c>
      <c r="AQ22" s="17">
        <f>AP22</f>
        <v/>
      </c>
      <c r="AR22" s="19" t="inlineStr">
        <is>
          <t>—</t>
        </is>
      </c>
      <c r="AS22" s="20" t="inlineStr">
        <is>
          <t>참고값 없음 (s=1 적용)</t>
        </is>
      </c>
    </row>
    <row r="23">
      <c r="A23" s="16" t="n">
        <v>20</v>
      </c>
      <c r="B23" s="17">
        <f>IF(B$4&lt;=$A23,NORM.S.INV((B$4-0.375)/($A23+0.25)),"")</f>
        <v/>
      </c>
      <c r="C23" s="17">
        <f>IF(C$4&lt;=$A23,NORM.S.INV((C$4-0.375)/($A23+0.25)),"")</f>
        <v/>
      </c>
      <c r="D23" s="17">
        <f>IF(D$4&lt;=$A23,NORM.S.INV((D$4-0.375)/($A23+0.25)),"")</f>
        <v/>
      </c>
      <c r="E23" s="17">
        <f>IF(E$4&lt;=$A23,NORM.S.INV((E$4-0.375)/($A23+0.25)),"")</f>
        <v/>
      </c>
      <c r="F23" s="17">
        <f>IF(F$4&lt;=$A23,NORM.S.INV((F$4-0.375)/($A23+0.25)),"")</f>
        <v/>
      </c>
      <c r="G23" s="17">
        <f>IF(G$4&lt;=$A23,NORM.S.INV((G$4-0.375)/($A23+0.25)),"")</f>
        <v/>
      </c>
      <c r="H23" s="17">
        <f>IF(H$4&lt;=$A23,NORM.S.INV((H$4-0.375)/($A23+0.25)),"")</f>
        <v/>
      </c>
      <c r="I23" s="17">
        <f>IF(I$4&lt;=$A23,NORM.S.INV((I$4-0.375)/($A23+0.25)),"")</f>
        <v/>
      </c>
      <c r="J23" s="17">
        <f>IF(J$4&lt;=$A23,NORM.S.INV((J$4-0.375)/($A23+0.25)),"")</f>
        <v/>
      </c>
      <c r="K23" s="17">
        <f>IF(K$4&lt;=$A23,NORM.S.INV((K$4-0.375)/($A23+0.25)),"")</f>
        <v/>
      </c>
      <c r="L23" s="17">
        <f>IF(L$4&lt;=$A23,NORM.S.INV((L$4-0.375)/($A23+0.25)),"")</f>
        <v/>
      </c>
      <c r="M23" s="17">
        <f>IF(M$4&lt;=$A23,NORM.S.INV((M$4-0.375)/($A23+0.25)),"")</f>
        <v/>
      </c>
      <c r="N23" s="17">
        <f>IF(N$4&lt;=$A23,NORM.S.INV((N$4-0.375)/($A23+0.25)),"")</f>
        <v/>
      </c>
      <c r="O23" s="17">
        <f>IF(O$4&lt;=$A23,NORM.S.INV((O$4-0.375)/($A23+0.25)),"")</f>
        <v/>
      </c>
      <c r="P23" s="17">
        <f>IF(P$4&lt;=$A23,NORM.S.INV((P$4-0.375)/($A23+0.25)),"")</f>
        <v/>
      </c>
      <c r="Q23" s="17">
        <f>IF(Q$4&lt;=$A23,NORM.S.INV((Q$4-0.375)/($A23+0.25)),"")</f>
        <v/>
      </c>
      <c r="R23" s="17">
        <f>IF(R$4&lt;=$A23,NORM.S.INV((R$4-0.375)/($A23+0.25)),"")</f>
        <v/>
      </c>
      <c r="S23" s="17">
        <f>IF(S$4&lt;=$A23,NORM.S.INV((S$4-0.375)/($A23+0.25)),"")</f>
        <v/>
      </c>
      <c r="T23" s="17">
        <f>IF(T$4&lt;=$A23,NORM.S.INV((T$4-0.375)/($A23+0.25)),"")</f>
        <v/>
      </c>
      <c r="U23" s="17">
        <f>IF(U$4&lt;=$A23,NORM.S.INV((U$4-0.375)/($A23+0.25)),"")</f>
        <v/>
      </c>
      <c r="V23" s="17">
        <f>IF(V$4&lt;=$A23,NORM.S.INV((V$4-0.375)/($A23+0.25)),"")</f>
        <v/>
      </c>
      <c r="W23" s="17">
        <f>IF(W$4&lt;=$A23,NORM.S.INV((W$4-0.375)/($A23+0.25)),"")</f>
        <v/>
      </c>
      <c r="X23" s="17">
        <f>IF(X$4&lt;=$A23,NORM.S.INV((X$4-0.375)/($A23+0.25)),"")</f>
        <v/>
      </c>
      <c r="Y23" s="17">
        <f>IF(Y$4&lt;=$A23,NORM.S.INV((Y$4-0.375)/($A23+0.25)),"")</f>
        <v/>
      </c>
      <c r="Z23" s="17">
        <f>IF(Z$4&lt;=$A23,NORM.S.INV((Z$4-0.375)/($A23+0.25)),"")</f>
        <v/>
      </c>
      <c r="AA23" s="17">
        <f>IF(AA$4&lt;=$A23,NORM.S.INV((AA$4-0.375)/($A23+0.25)),"")</f>
        <v/>
      </c>
      <c r="AB23" s="17">
        <f>IF(AB$4&lt;=$A23,NORM.S.INV((AB$4-0.375)/($A23+0.25)),"")</f>
        <v/>
      </c>
      <c r="AC23" s="17">
        <f>IF(AC$4&lt;=$A23,NORM.S.INV((AC$4-0.375)/($A23+0.25)),"")</f>
        <v/>
      </c>
      <c r="AD23" s="17">
        <f>IF(AD$4&lt;=$A23,NORM.S.INV((AD$4-0.375)/($A23+0.25)),"")</f>
        <v/>
      </c>
      <c r="AE23" s="17">
        <f>IF(AE$4&lt;=$A23,NORM.S.INV((AE$4-0.375)/($A23+0.25)),"")</f>
        <v/>
      </c>
      <c r="AF23" s="17">
        <f>IF(AF$4&lt;=$A23,NORM.S.INV((AF$4-0.375)/($A23+0.25)),"")</f>
        <v/>
      </c>
      <c r="AG23" s="17">
        <f>IF(AG$4&lt;=$A23,NORM.S.INV((AG$4-0.375)/($A23+0.25)),"")</f>
        <v/>
      </c>
      <c r="AH23" s="17">
        <f>IF(AH$4&lt;=$A23,NORM.S.INV((AH$4-0.375)/($A23+0.25)),"")</f>
        <v/>
      </c>
      <c r="AI23" s="17">
        <f>IF(AI$4&lt;=$A23,NORM.S.INV((AI$4-0.375)/($A23+0.25)),"")</f>
        <v/>
      </c>
      <c r="AJ23" s="17">
        <f>IF(AJ$4&lt;=$A23,NORM.S.INV((AJ$4-0.375)/($A23+0.25)),"")</f>
        <v/>
      </c>
      <c r="AK23" s="17">
        <f>IF(AK$4&lt;=$A23,NORM.S.INV((AK$4-0.375)/($A23+0.25)),"")</f>
        <v/>
      </c>
      <c r="AL23" s="17">
        <f>IF(AL$4&lt;=$A23,NORM.S.INV((AL$4-0.375)/($A23+0.25)),"")</f>
        <v/>
      </c>
      <c r="AM23" s="17">
        <f>IF(AM$4&lt;=$A23,NORM.S.INV((AM$4-0.375)/($A23+0.25)),"")</f>
        <v/>
      </c>
      <c r="AN23" s="17">
        <f>IF(AN$4&lt;=$A23,NORM.S.INV((AN$4-0.375)/($A23+0.25)),"")</f>
        <v/>
      </c>
      <c r="AO23" s="17">
        <f>IF(AO$4&lt;=$A23,NORM.S.INV((AO$4-0.375)/($A23+0.25)),"")</f>
        <v/>
      </c>
      <c r="AP23" s="18">
        <f>STDEVP($B23:$AO23)</f>
        <v/>
      </c>
      <c r="AQ23" s="17">
        <f>AP23</f>
        <v/>
      </c>
      <c r="AR23" s="19" t="inlineStr">
        <is>
          <t>—</t>
        </is>
      </c>
      <c r="AS23" s="20" t="inlineStr">
        <is>
          <t>참고값 없음 (s=1 적용)</t>
        </is>
      </c>
    </row>
    <row r="24">
      <c r="A24" s="16" t="n">
        <v>21</v>
      </c>
      <c r="B24" s="17">
        <f>IF(B$4&lt;=$A24,NORM.S.INV((B$4-0.375)/($A24+0.25)),"")</f>
        <v/>
      </c>
      <c r="C24" s="17">
        <f>IF(C$4&lt;=$A24,NORM.S.INV((C$4-0.375)/($A24+0.25)),"")</f>
        <v/>
      </c>
      <c r="D24" s="17">
        <f>IF(D$4&lt;=$A24,NORM.S.INV((D$4-0.375)/($A24+0.25)),"")</f>
        <v/>
      </c>
      <c r="E24" s="17">
        <f>IF(E$4&lt;=$A24,NORM.S.INV((E$4-0.375)/($A24+0.25)),"")</f>
        <v/>
      </c>
      <c r="F24" s="17">
        <f>IF(F$4&lt;=$A24,NORM.S.INV((F$4-0.375)/($A24+0.25)),"")</f>
        <v/>
      </c>
      <c r="G24" s="17">
        <f>IF(G$4&lt;=$A24,NORM.S.INV((G$4-0.375)/($A24+0.25)),"")</f>
        <v/>
      </c>
      <c r="H24" s="17">
        <f>IF(H$4&lt;=$A24,NORM.S.INV((H$4-0.375)/($A24+0.25)),"")</f>
        <v/>
      </c>
      <c r="I24" s="17">
        <f>IF(I$4&lt;=$A24,NORM.S.INV((I$4-0.375)/($A24+0.25)),"")</f>
        <v/>
      </c>
      <c r="J24" s="17">
        <f>IF(J$4&lt;=$A24,NORM.S.INV((J$4-0.375)/($A24+0.25)),"")</f>
        <v/>
      </c>
      <c r="K24" s="17">
        <f>IF(K$4&lt;=$A24,NORM.S.INV((K$4-0.375)/($A24+0.25)),"")</f>
        <v/>
      </c>
      <c r="L24" s="17">
        <f>IF(L$4&lt;=$A24,NORM.S.INV((L$4-0.375)/($A24+0.25)),"")</f>
        <v/>
      </c>
      <c r="M24" s="17">
        <f>IF(M$4&lt;=$A24,NORM.S.INV((M$4-0.375)/($A24+0.25)),"")</f>
        <v/>
      </c>
      <c r="N24" s="17">
        <f>IF(N$4&lt;=$A24,NORM.S.INV((N$4-0.375)/($A24+0.25)),"")</f>
        <v/>
      </c>
      <c r="O24" s="17">
        <f>IF(O$4&lt;=$A24,NORM.S.INV((O$4-0.375)/($A24+0.25)),"")</f>
        <v/>
      </c>
      <c r="P24" s="17">
        <f>IF(P$4&lt;=$A24,NORM.S.INV((P$4-0.375)/($A24+0.25)),"")</f>
        <v/>
      </c>
      <c r="Q24" s="17">
        <f>IF(Q$4&lt;=$A24,NORM.S.INV((Q$4-0.375)/($A24+0.25)),"")</f>
        <v/>
      </c>
      <c r="R24" s="17">
        <f>IF(R$4&lt;=$A24,NORM.S.INV((R$4-0.375)/($A24+0.25)),"")</f>
        <v/>
      </c>
      <c r="S24" s="17">
        <f>IF(S$4&lt;=$A24,NORM.S.INV((S$4-0.375)/($A24+0.25)),"")</f>
        <v/>
      </c>
      <c r="T24" s="17">
        <f>IF(T$4&lt;=$A24,NORM.S.INV((T$4-0.375)/($A24+0.25)),"")</f>
        <v/>
      </c>
      <c r="U24" s="17">
        <f>IF(U$4&lt;=$A24,NORM.S.INV((U$4-0.375)/($A24+0.25)),"")</f>
        <v/>
      </c>
      <c r="V24" s="17">
        <f>IF(V$4&lt;=$A24,NORM.S.INV((V$4-0.375)/($A24+0.25)),"")</f>
        <v/>
      </c>
      <c r="W24" s="17">
        <f>IF(W$4&lt;=$A24,NORM.S.INV((W$4-0.375)/($A24+0.25)),"")</f>
        <v/>
      </c>
      <c r="X24" s="17">
        <f>IF(X$4&lt;=$A24,NORM.S.INV((X$4-0.375)/($A24+0.25)),"")</f>
        <v/>
      </c>
      <c r="Y24" s="17">
        <f>IF(Y$4&lt;=$A24,NORM.S.INV((Y$4-0.375)/($A24+0.25)),"")</f>
        <v/>
      </c>
      <c r="Z24" s="17">
        <f>IF(Z$4&lt;=$A24,NORM.S.INV((Z$4-0.375)/($A24+0.25)),"")</f>
        <v/>
      </c>
      <c r="AA24" s="17">
        <f>IF(AA$4&lt;=$A24,NORM.S.INV((AA$4-0.375)/($A24+0.25)),"")</f>
        <v/>
      </c>
      <c r="AB24" s="17">
        <f>IF(AB$4&lt;=$A24,NORM.S.INV((AB$4-0.375)/($A24+0.25)),"")</f>
        <v/>
      </c>
      <c r="AC24" s="17">
        <f>IF(AC$4&lt;=$A24,NORM.S.INV((AC$4-0.375)/($A24+0.25)),"")</f>
        <v/>
      </c>
      <c r="AD24" s="17">
        <f>IF(AD$4&lt;=$A24,NORM.S.INV((AD$4-0.375)/($A24+0.25)),"")</f>
        <v/>
      </c>
      <c r="AE24" s="17">
        <f>IF(AE$4&lt;=$A24,NORM.S.INV((AE$4-0.375)/($A24+0.25)),"")</f>
        <v/>
      </c>
      <c r="AF24" s="17">
        <f>IF(AF$4&lt;=$A24,NORM.S.INV((AF$4-0.375)/($A24+0.25)),"")</f>
        <v/>
      </c>
      <c r="AG24" s="17">
        <f>IF(AG$4&lt;=$A24,NORM.S.INV((AG$4-0.375)/($A24+0.25)),"")</f>
        <v/>
      </c>
      <c r="AH24" s="17">
        <f>IF(AH$4&lt;=$A24,NORM.S.INV((AH$4-0.375)/($A24+0.25)),"")</f>
        <v/>
      </c>
      <c r="AI24" s="17">
        <f>IF(AI$4&lt;=$A24,NORM.S.INV((AI$4-0.375)/($A24+0.25)),"")</f>
        <v/>
      </c>
      <c r="AJ24" s="17">
        <f>IF(AJ$4&lt;=$A24,NORM.S.INV((AJ$4-0.375)/($A24+0.25)),"")</f>
        <v/>
      </c>
      <c r="AK24" s="17">
        <f>IF(AK$4&lt;=$A24,NORM.S.INV((AK$4-0.375)/($A24+0.25)),"")</f>
        <v/>
      </c>
      <c r="AL24" s="17">
        <f>IF(AL$4&lt;=$A24,NORM.S.INV((AL$4-0.375)/($A24+0.25)),"")</f>
        <v/>
      </c>
      <c r="AM24" s="17">
        <f>IF(AM$4&lt;=$A24,NORM.S.INV((AM$4-0.375)/($A24+0.25)),"")</f>
        <v/>
      </c>
      <c r="AN24" s="17">
        <f>IF(AN$4&lt;=$A24,NORM.S.INV((AN$4-0.375)/($A24+0.25)),"")</f>
        <v/>
      </c>
      <c r="AO24" s="17">
        <f>IF(AO$4&lt;=$A24,NORM.S.INV((AO$4-0.375)/($A24+0.25)),"")</f>
        <v/>
      </c>
      <c r="AP24" s="18">
        <f>STDEVP($B24:$AO24)</f>
        <v/>
      </c>
      <c r="AQ24" s="17">
        <f>AP24</f>
        <v/>
      </c>
      <c r="AR24" s="19" t="inlineStr">
        <is>
          <t>—</t>
        </is>
      </c>
      <c r="AS24" s="20" t="inlineStr">
        <is>
          <t>참고값 없음 (s=1 적용)</t>
        </is>
      </c>
    </row>
    <row r="25">
      <c r="A25" s="16" t="n">
        <v>22</v>
      </c>
      <c r="B25" s="17">
        <f>IF(B$4&lt;=$A25,NORM.S.INV((B$4-0.375)/($A25+0.25)),"")</f>
        <v/>
      </c>
      <c r="C25" s="17">
        <f>IF(C$4&lt;=$A25,NORM.S.INV((C$4-0.375)/($A25+0.25)),"")</f>
        <v/>
      </c>
      <c r="D25" s="17">
        <f>IF(D$4&lt;=$A25,NORM.S.INV((D$4-0.375)/($A25+0.25)),"")</f>
        <v/>
      </c>
      <c r="E25" s="17">
        <f>IF(E$4&lt;=$A25,NORM.S.INV((E$4-0.375)/($A25+0.25)),"")</f>
        <v/>
      </c>
      <c r="F25" s="17">
        <f>IF(F$4&lt;=$A25,NORM.S.INV((F$4-0.375)/($A25+0.25)),"")</f>
        <v/>
      </c>
      <c r="G25" s="17">
        <f>IF(G$4&lt;=$A25,NORM.S.INV((G$4-0.375)/($A25+0.25)),"")</f>
        <v/>
      </c>
      <c r="H25" s="17">
        <f>IF(H$4&lt;=$A25,NORM.S.INV((H$4-0.375)/($A25+0.25)),"")</f>
        <v/>
      </c>
      <c r="I25" s="17">
        <f>IF(I$4&lt;=$A25,NORM.S.INV((I$4-0.375)/($A25+0.25)),"")</f>
        <v/>
      </c>
      <c r="J25" s="17">
        <f>IF(J$4&lt;=$A25,NORM.S.INV((J$4-0.375)/($A25+0.25)),"")</f>
        <v/>
      </c>
      <c r="K25" s="17">
        <f>IF(K$4&lt;=$A25,NORM.S.INV((K$4-0.375)/($A25+0.25)),"")</f>
        <v/>
      </c>
      <c r="L25" s="17">
        <f>IF(L$4&lt;=$A25,NORM.S.INV((L$4-0.375)/($A25+0.25)),"")</f>
        <v/>
      </c>
      <c r="M25" s="17">
        <f>IF(M$4&lt;=$A25,NORM.S.INV((M$4-0.375)/($A25+0.25)),"")</f>
        <v/>
      </c>
      <c r="N25" s="17">
        <f>IF(N$4&lt;=$A25,NORM.S.INV((N$4-0.375)/($A25+0.25)),"")</f>
        <v/>
      </c>
      <c r="O25" s="17">
        <f>IF(O$4&lt;=$A25,NORM.S.INV((O$4-0.375)/($A25+0.25)),"")</f>
        <v/>
      </c>
      <c r="P25" s="17">
        <f>IF(P$4&lt;=$A25,NORM.S.INV((P$4-0.375)/($A25+0.25)),"")</f>
        <v/>
      </c>
      <c r="Q25" s="17">
        <f>IF(Q$4&lt;=$A25,NORM.S.INV((Q$4-0.375)/($A25+0.25)),"")</f>
        <v/>
      </c>
      <c r="R25" s="17">
        <f>IF(R$4&lt;=$A25,NORM.S.INV((R$4-0.375)/($A25+0.25)),"")</f>
        <v/>
      </c>
      <c r="S25" s="17">
        <f>IF(S$4&lt;=$A25,NORM.S.INV((S$4-0.375)/($A25+0.25)),"")</f>
        <v/>
      </c>
      <c r="T25" s="17">
        <f>IF(T$4&lt;=$A25,NORM.S.INV((T$4-0.375)/($A25+0.25)),"")</f>
        <v/>
      </c>
      <c r="U25" s="17">
        <f>IF(U$4&lt;=$A25,NORM.S.INV((U$4-0.375)/($A25+0.25)),"")</f>
        <v/>
      </c>
      <c r="V25" s="17">
        <f>IF(V$4&lt;=$A25,NORM.S.INV((V$4-0.375)/($A25+0.25)),"")</f>
        <v/>
      </c>
      <c r="W25" s="17">
        <f>IF(W$4&lt;=$A25,NORM.S.INV((W$4-0.375)/($A25+0.25)),"")</f>
        <v/>
      </c>
      <c r="X25" s="17">
        <f>IF(X$4&lt;=$A25,NORM.S.INV((X$4-0.375)/($A25+0.25)),"")</f>
        <v/>
      </c>
      <c r="Y25" s="17">
        <f>IF(Y$4&lt;=$A25,NORM.S.INV((Y$4-0.375)/($A25+0.25)),"")</f>
        <v/>
      </c>
      <c r="Z25" s="17">
        <f>IF(Z$4&lt;=$A25,NORM.S.INV((Z$4-0.375)/($A25+0.25)),"")</f>
        <v/>
      </c>
      <c r="AA25" s="17">
        <f>IF(AA$4&lt;=$A25,NORM.S.INV((AA$4-0.375)/($A25+0.25)),"")</f>
        <v/>
      </c>
      <c r="AB25" s="17">
        <f>IF(AB$4&lt;=$A25,NORM.S.INV((AB$4-0.375)/($A25+0.25)),"")</f>
        <v/>
      </c>
      <c r="AC25" s="17">
        <f>IF(AC$4&lt;=$A25,NORM.S.INV((AC$4-0.375)/($A25+0.25)),"")</f>
        <v/>
      </c>
      <c r="AD25" s="17">
        <f>IF(AD$4&lt;=$A25,NORM.S.INV((AD$4-0.375)/($A25+0.25)),"")</f>
        <v/>
      </c>
      <c r="AE25" s="17">
        <f>IF(AE$4&lt;=$A25,NORM.S.INV((AE$4-0.375)/($A25+0.25)),"")</f>
        <v/>
      </c>
      <c r="AF25" s="17">
        <f>IF(AF$4&lt;=$A25,NORM.S.INV((AF$4-0.375)/($A25+0.25)),"")</f>
        <v/>
      </c>
      <c r="AG25" s="17">
        <f>IF(AG$4&lt;=$A25,NORM.S.INV((AG$4-0.375)/($A25+0.25)),"")</f>
        <v/>
      </c>
      <c r="AH25" s="17">
        <f>IF(AH$4&lt;=$A25,NORM.S.INV((AH$4-0.375)/($A25+0.25)),"")</f>
        <v/>
      </c>
      <c r="AI25" s="17">
        <f>IF(AI$4&lt;=$A25,NORM.S.INV((AI$4-0.375)/($A25+0.25)),"")</f>
        <v/>
      </c>
      <c r="AJ25" s="17">
        <f>IF(AJ$4&lt;=$A25,NORM.S.INV((AJ$4-0.375)/($A25+0.25)),"")</f>
        <v/>
      </c>
      <c r="AK25" s="17">
        <f>IF(AK$4&lt;=$A25,NORM.S.INV((AK$4-0.375)/($A25+0.25)),"")</f>
        <v/>
      </c>
      <c r="AL25" s="17">
        <f>IF(AL$4&lt;=$A25,NORM.S.INV((AL$4-0.375)/($A25+0.25)),"")</f>
        <v/>
      </c>
      <c r="AM25" s="17">
        <f>IF(AM$4&lt;=$A25,NORM.S.INV((AM$4-0.375)/($A25+0.25)),"")</f>
        <v/>
      </c>
      <c r="AN25" s="17">
        <f>IF(AN$4&lt;=$A25,NORM.S.INV((AN$4-0.375)/($A25+0.25)),"")</f>
        <v/>
      </c>
      <c r="AO25" s="17">
        <f>IF(AO$4&lt;=$A25,NORM.S.INV((AO$4-0.375)/($A25+0.25)),"")</f>
        <v/>
      </c>
      <c r="AP25" s="18">
        <f>STDEVP($B25:$AO25)</f>
        <v/>
      </c>
      <c r="AQ25" s="17">
        <f>AP25</f>
        <v/>
      </c>
      <c r="AR25" s="19" t="inlineStr">
        <is>
          <t>—</t>
        </is>
      </c>
      <c r="AS25" s="20" t="inlineStr">
        <is>
          <t>참고값 없음 (s=1 적용)</t>
        </is>
      </c>
    </row>
    <row r="26">
      <c r="A26" s="16" t="n">
        <v>23</v>
      </c>
      <c r="B26" s="17">
        <f>IF(B$4&lt;=$A26,NORM.S.INV((B$4-0.375)/($A26+0.25)),"")</f>
        <v/>
      </c>
      <c r="C26" s="17">
        <f>IF(C$4&lt;=$A26,NORM.S.INV((C$4-0.375)/($A26+0.25)),"")</f>
        <v/>
      </c>
      <c r="D26" s="17">
        <f>IF(D$4&lt;=$A26,NORM.S.INV((D$4-0.375)/($A26+0.25)),"")</f>
        <v/>
      </c>
      <c r="E26" s="17">
        <f>IF(E$4&lt;=$A26,NORM.S.INV((E$4-0.375)/($A26+0.25)),"")</f>
        <v/>
      </c>
      <c r="F26" s="17">
        <f>IF(F$4&lt;=$A26,NORM.S.INV((F$4-0.375)/($A26+0.25)),"")</f>
        <v/>
      </c>
      <c r="G26" s="17">
        <f>IF(G$4&lt;=$A26,NORM.S.INV((G$4-0.375)/($A26+0.25)),"")</f>
        <v/>
      </c>
      <c r="H26" s="17">
        <f>IF(H$4&lt;=$A26,NORM.S.INV((H$4-0.375)/($A26+0.25)),"")</f>
        <v/>
      </c>
      <c r="I26" s="17">
        <f>IF(I$4&lt;=$A26,NORM.S.INV((I$4-0.375)/($A26+0.25)),"")</f>
        <v/>
      </c>
      <c r="J26" s="17">
        <f>IF(J$4&lt;=$A26,NORM.S.INV((J$4-0.375)/($A26+0.25)),"")</f>
        <v/>
      </c>
      <c r="K26" s="17">
        <f>IF(K$4&lt;=$A26,NORM.S.INV((K$4-0.375)/($A26+0.25)),"")</f>
        <v/>
      </c>
      <c r="L26" s="17">
        <f>IF(L$4&lt;=$A26,NORM.S.INV((L$4-0.375)/($A26+0.25)),"")</f>
        <v/>
      </c>
      <c r="M26" s="17">
        <f>IF(M$4&lt;=$A26,NORM.S.INV((M$4-0.375)/($A26+0.25)),"")</f>
        <v/>
      </c>
      <c r="N26" s="17">
        <f>IF(N$4&lt;=$A26,NORM.S.INV((N$4-0.375)/($A26+0.25)),"")</f>
        <v/>
      </c>
      <c r="O26" s="17">
        <f>IF(O$4&lt;=$A26,NORM.S.INV((O$4-0.375)/($A26+0.25)),"")</f>
        <v/>
      </c>
      <c r="P26" s="17">
        <f>IF(P$4&lt;=$A26,NORM.S.INV((P$4-0.375)/($A26+0.25)),"")</f>
        <v/>
      </c>
      <c r="Q26" s="17">
        <f>IF(Q$4&lt;=$A26,NORM.S.INV((Q$4-0.375)/($A26+0.25)),"")</f>
        <v/>
      </c>
      <c r="R26" s="17">
        <f>IF(R$4&lt;=$A26,NORM.S.INV((R$4-0.375)/($A26+0.25)),"")</f>
        <v/>
      </c>
      <c r="S26" s="17">
        <f>IF(S$4&lt;=$A26,NORM.S.INV((S$4-0.375)/($A26+0.25)),"")</f>
        <v/>
      </c>
      <c r="T26" s="17">
        <f>IF(T$4&lt;=$A26,NORM.S.INV((T$4-0.375)/($A26+0.25)),"")</f>
        <v/>
      </c>
      <c r="U26" s="17">
        <f>IF(U$4&lt;=$A26,NORM.S.INV((U$4-0.375)/($A26+0.25)),"")</f>
        <v/>
      </c>
      <c r="V26" s="17">
        <f>IF(V$4&lt;=$A26,NORM.S.INV((V$4-0.375)/($A26+0.25)),"")</f>
        <v/>
      </c>
      <c r="W26" s="17">
        <f>IF(W$4&lt;=$A26,NORM.S.INV((W$4-0.375)/($A26+0.25)),"")</f>
        <v/>
      </c>
      <c r="X26" s="17">
        <f>IF(X$4&lt;=$A26,NORM.S.INV((X$4-0.375)/($A26+0.25)),"")</f>
        <v/>
      </c>
      <c r="Y26" s="17">
        <f>IF(Y$4&lt;=$A26,NORM.S.INV((Y$4-0.375)/($A26+0.25)),"")</f>
        <v/>
      </c>
      <c r="Z26" s="17">
        <f>IF(Z$4&lt;=$A26,NORM.S.INV((Z$4-0.375)/($A26+0.25)),"")</f>
        <v/>
      </c>
      <c r="AA26" s="17">
        <f>IF(AA$4&lt;=$A26,NORM.S.INV((AA$4-0.375)/($A26+0.25)),"")</f>
        <v/>
      </c>
      <c r="AB26" s="17">
        <f>IF(AB$4&lt;=$A26,NORM.S.INV((AB$4-0.375)/($A26+0.25)),"")</f>
        <v/>
      </c>
      <c r="AC26" s="17">
        <f>IF(AC$4&lt;=$A26,NORM.S.INV((AC$4-0.375)/($A26+0.25)),"")</f>
        <v/>
      </c>
      <c r="AD26" s="17">
        <f>IF(AD$4&lt;=$A26,NORM.S.INV((AD$4-0.375)/($A26+0.25)),"")</f>
        <v/>
      </c>
      <c r="AE26" s="17">
        <f>IF(AE$4&lt;=$A26,NORM.S.INV((AE$4-0.375)/($A26+0.25)),"")</f>
        <v/>
      </c>
      <c r="AF26" s="17">
        <f>IF(AF$4&lt;=$A26,NORM.S.INV((AF$4-0.375)/($A26+0.25)),"")</f>
        <v/>
      </c>
      <c r="AG26" s="17">
        <f>IF(AG$4&lt;=$A26,NORM.S.INV((AG$4-0.375)/($A26+0.25)),"")</f>
        <v/>
      </c>
      <c r="AH26" s="17">
        <f>IF(AH$4&lt;=$A26,NORM.S.INV((AH$4-0.375)/($A26+0.25)),"")</f>
        <v/>
      </c>
      <c r="AI26" s="17">
        <f>IF(AI$4&lt;=$A26,NORM.S.INV((AI$4-0.375)/($A26+0.25)),"")</f>
        <v/>
      </c>
      <c r="AJ26" s="17">
        <f>IF(AJ$4&lt;=$A26,NORM.S.INV((AJ$4-0.375)/($A26+0.25)),"")</f>
        <v/>
      </c>
      <c r="AK26" s="17">
        <f>IF(AK$4&lt;=$A26,NORM.S.INV((AK$4-0.375)/($A26+0.25)),"")</f>
        <v/>
      </c>
      <c r="AL26" s="17">
        <f>IF(AL$4&lt;=$A26,NORM.S.INV((AL$4-0.375)/($A26+0.25)),"")</f>
        <v/>
      </c>
      <c r="AM26" s="17">
        <f>IF(AM$4&lt;=$A26,NORM.S.INV((AM$4-0.375)/($A26+0.25)),"")</f>
        <v/>
      </c>
      <c r="AN26" s="17">
        <f>IF(AN$4&lt;=$A26,NORM.S.INV((AN$4-0.375)/($A26+0.25)),"")</f>
        <v/>
      </c>
      <c r="AO26" s="17">
        <f>IF(AO$4&lt;=$A26,NORM.S.INV((AO$4-0.375)/($A26+0.25)),"")</f>
        <v/>
      </c>
      <c r="AP26" s="18">
        <f>STDEVP($B26:$AO26)</f>
        <v/>
      </c>
      <c r="AQ26" s="17">
        <f>AP26</f>
        <v/>
      </c>
      <c r="AR26" s="19" t="inlineStr">
        <is>
          <t>—</t>
        </is>
      </c>
      <c r="AS26" s="20" t="inlineStr">
        <is>
          <t>참고값 없음 (s=1 적용)</t>
        </is>
      </c>
    </row>
    <row r="27">
      <c r="A27" s="16" t="n">
        <v>24</v>
      </c>
      <c r="B27" s="17">
        <f>IF(B$4&lt;=$A27,NORM.S.INV((B$4-0.375)/($A27+0.25)),"")</f>
        <v/>
      </c>
      <c r="C27" s="17">
        <f>IF(C$4&lt;=$A27,NORM.S.INV((C$4-0.375)/($A27+0.25)),"")</f>
        <v/>
      </c>
      <c r="D27" s="17">
        <f>IF(D$4&lt;=$A27,NORM.S.INV((D$4-0.375)/($A27+0.25)),"")</f>
        <v/>
      </c>
      <c r="E27" s="17">
        <f>IF(E$4&lt;=$A27,NORM.S.INV((E$4-0.375)/($A27+0.25)),"")</f>
        <v/>
      </c>
      <c r="F27" s="17">
        <f>IF(F$4&lt;=$A27,NORM.S.INV((F$4-0.375)/($A27+0.25)),"")</f>
        <v/>
      </c>
      <c r="G27" s="17">
        <f>IF(G$4&lt;=$A27,NORM.S.INV((G$4-0.375)/($A27+0.25)),"")</f>
        <v/>
      </c>
      <c r="H27" s="17">
        <f>IF(H$4&lt;=$A27,NORM.S.INV((H$4-0.375)/($A27+0.25)),"")</f>
        <v/>
      </c>
      <c r="I27" s="17">
        <f>IF(I$4&lt;=$A27,NORM.S.INV((I$4-0.375)/($A27+0.25)),"")</f>
        <v/>
      </c>
      <c r="J27" s="17">
        <f>IF(J$4&lt;=$A27,NORM.S.INV((J$4-0.375)/($A27+0.25)),"")</f>
        <v/>
      </c>
      <c r="K27" s="17">
        <f>IF(K$4&lt;=$A27,NORM.S.INV((K$4-0.375)/($A27+0.25)),"")</f>
        <v/>
      </c>
      <c r="L27" s="17">
        <f>IF(L$4&lt;=$A27,NORM.S.INV((L$4-0.375)/($A27+0.25)),"")</f>
        <v/>
      </c>
      <c r="M27" s="17">
        <f>IF(M$4&lt;=$A27,NORM.S.INV((M$4-0.375)/($A27+0.25)),"")</f>
        <v/>
      </c>
      <c r="N27" s="17">
        <f>IF(N$4&lt;=$A27,NORM.S.INV((N$4-0.375)/($A27+0.25)),"")</f>
        <v/>
      </c>
      <c r="O27" s="17">
        <f>IF(O$4&lt;=$A27,NORM.S.INV((O$4-0.375)/($A27+0.25)),"")</f>
        <v/>
      </c>
      <c r="P27" s="17">
        <f>IF(P$4&lt;=$A27,NORM.S.INV((P$4-0.375)/($A27+0.25)),"")</f>
        <v/>
      </c>
      <c r="Q27" s="17">
        <f>IF(Q$4&lt;=$A27,NORM.S.INV((Q$4-0.375)/($A27+0.25)),"")</f>
        <v/>
      </c>
      <c r="R27" s="17">
        <f>IF(R$4&lt;=$A27,NORM.S.INV((R$4-0.375)/($A27+0.25)),"")</f>
        <v/>
      </c>
      <c r="S27" s="17">
        <f>IF(S$4&lt;=$A27,NORM.S.INV((S$4-0.375)/($A27+0.25)),"")</f>
        <v/>
      </c>
      <c r="T27" s="17">
        <f>IF(T$4&lt;=$A27,NORM.S.INV((T$4-0.375)/($A27+0.25)),"")</f>
        <v/>
      </c>
      <c r="U27" s="17">
        <f>IF(U$4&lt;=$A27,NORM.S.INV((U$4-0.375)/($A27+0.25)),"")</f>
        <v/>
      </c>
      <c r="V27" s="17">
        <f>IF(V$4&lt;=$A27,NORM.S.INV((V$4-0.375)/($A27+0.25)),"")</f>
        <v/>
      </c>
      <c r="W27" s="17">
        <f>IF(W$4&lt;=$A27,NORM.S.INV((W$4-0.375)/($A27+0.25)),"")</f>
        <v/>
      </c>
      <c r="X27" s="17">
        <f>IF(X$4&lt;=$A27,NORM.S.INV((X$4-0.375)/($A27+0.25)),"")</f>
        <v/>
      </c>
      <c r="Y27" s="17">
        <f>IF(Y$4&lt;=$A27,NORM.S.INV((Y$4-0.375)/($A27+0.25)),"")</f>
        <v/>
      </c>
      <c r="Z27" s="17">
        <f>IF(Z$4&lt;=$A27,NORM.S.INV((Z$4-0.375)/($A27+0.25)),"")</f>
        <v/>
      </c>
      <c r="AA27" s="17">
        <f>IF(AA$4&lt;=$A27,NORM.S.INV((AA$4-0.375)/($A27+0.25)),"")</f>
        <v/>
      </c>
      <c r="AB27" s="17">
        <f>IF(AB$4&lt;=$A27,NORM.S.INV((AB$4-0.375)/($A27+0.25)),"")</f>
        <v/>
      </c>
      <c r="AC27" s="17">
        <f>IF(AC$4&lt;=$A27,NORM.S.INV((AC$4-0.375)/($A27+0.25)),"")</f>
        <v/>
      </c>
      <c r="AD27" s="17">
        <f>IF(AD$4&lt;=$A27,NORM.S.INV((AD$4-0.375)/($A27+0.25)),"")</f>
        <v/>
      </c>
      <c r="AE27" s="17">
        <f>IF(AE$4&lt;=$A27,NORM.S.INV((AE$4-0.375)/($A27+0.25)),"")</f>
        <v/>
      </c>
      <c r="AF27" s="17">
        <f>IF(AF$4&lt;=$A27,NORM.S.INV((AF$4-0.375)/($A27+0.25)),"")</f>
        <v/>
      </c>
      <c r="AG27" s="17">
        <f>IF(AG$4&lt;=$A27,NORM.S.INV((AG$4-0.375)/($A27+0.25)),"")</f>
        <v/>
      </c>
      <c r="AH27" s="17">
        <f>IF(AH$4&lt;=$A27,NORM.S.INV((AH$4-0.375)/($A27+0.25)),"")</f>
        <v/>
      </c>
      <c r="AI27" s="17">
        <f>IF(AI$4&lt;=$A27,NORM.S.INV((AI$4-0.375)/($A27+0.25)),"")</f>
        <v/>
      </c>
      <c r="AJ27" s="17">
        <f>IF(AJ$4&lt;=$A27,NORM.S.INV((AJ$4-0.375)/($A27+0.25)),"")</f>
        <v/>
      </c>
      <c r="AK27" s="17">
        <f>IF(AK$4&lt;=$A27,NORM.S.INV((AK$4-0.375)/($A27+0.25)),"")</f>
        <v/>
      </c>
      <c r="AL27" s="17">
        <f>IF(AL$4&lt;=$A27,NORM.S.INV((AL$4-0.375)/($A27+0.25)),"")</f>
        <v/>
      </c>
      <c r="AM27" s="17">
        <f>IF(AM$4&lt;=$A27,NORM.S.INV((AM$4-0.375)/($A27+0.25)),"")</f>
        <v/>
      </c>
      <c r="AN27" s="17">
        <f>IF(AN$4&lt;=$A27,NORM.S.INV((AN$4-0.375)/($A27+0.25)),"")</f>
        <v/>
      </c>
      <c r="AO27" s="17">
        <f>IF(AO$4&lt;=$A27,NORM.S.INV((AO$4-0.375)/($A27+0.25)),"")</f>
        <v/>
      </c>
      <c r="AP27" s="18">
        <f>STDEVP($B27:$AO27)</f>
        <v/>
      </c>
      <c r="AQ27" s="17">
        <f>AP27</f>
        <v/>
      </c>
      <c r="AR27" s="19" t="inlineStr">
        <is>
          <t>—</t>
        </is>
      </c>
      <c r="AS27" s="20" t="inlineStr">
        <is>
          <t>참고값 없음 (s=1 적용)</t>
        </is>
      </c>
    </row>
    <row r="28">
      <c r="A28" s="16" t="n">
        <v>25</v>
      </c>
      <c r="B28" s="17">
        <f>IF(B$4&lt;=$A28,NORM.S.INV((B$4-0.375)/($A28+0.25)),"")</f>
        <v/>
      </c>
      <c r="C28" s="17">
        <f>IF(C$4&lt;=$A28,NORM.S.INV((C$4-0.375)/($A28+0.25)),"")</f>
        <v/>
      </c>
      <c r="D28" s="17">
        <f>IF(D$4&lt;=$A28,NORM.S.INV((D$4-0.375)/($A28+0.25)),"")</f>
        <v/>
      </c>
      <c r="E28" s="17">
        <f>IF(E$4&lt;=$A28,NORM.S.INV((E$4-0.375)/($A28+0.25)),"")</f>
        <v/>
      </c>
      <c r="F28" s="17">
        <f>IF(F$4&lt;=$A28,NORM.S.INV((F$4-0.375)/($A28+0.25)),"")</f>
        <v/>
      </c>
      <c r="G28" s="17">
        <f>IF(G$4&lt;=$A28,NORM.S.INV((G$4-0.375)/($A28+0.25)),"")</f>
        <v/>
      </c>
      <c r="H28" s="17">
        <f>IF(H$4&lt;=$A28,NORM.S.INV((H$4-0.375)/($A28+0.25)),"")</f>
        <v/>
      </c>
      <c r="I28" s="17">
        <f>IF(I$4&lt;=$A28,NORM.S.INV((I$4-0.375)/($A28+0.25)),"")</f>
        <v/>
      </c>
      <c r="J28" s="17">
        <f>IF(J$4&lt;=$A28,NORM.S.INV((J$4-0.375)/($A28+0.25)),"")</f>
        <v/>
      </c>
      <c r="K28" s="17">
        <f>IF(K$4&lt;=$A28,NORM.S.INV((K$4-0.375)/($A28+0.25)),"")</f>
        <v/>
      </c>
      <c r="L28" s="17">
        <f>IF(L$4&lt;=$A28,NORM.S.INV((L$4-0.375)/($A28+0.25)),"")</f>
        <v/>
      </c>
      <c r="M28" s="17">
        <f>IF(M$4&lt;=$A28,NORM.S.INV((M$4-0.375)/($A28+0.25)),"")</f>
        <v/>
      </c>
      <c r="N28" s="17">
        <f>IF(N$4&lt;=$A28,NORM.S.INV((N$4-0.375)/($A28+0.25)),"")</f>
        <v/>
      </c>
      <c r="O28" s="17">
        <f>IF(O$4&lt;=$A28,NORM.S.INV((O$4-0.375)/($A28+0.25)),"")</f>
        <v/>
      </c>
      <c r="P28" s="17">
        <f>IF(P$4&lt;=$A28,NORM.S.INV((P$4-0.375)/($A28+0.25)),"")</f>
        <v/>
      </c>
      <c r="Q28" s="17">
        <f>IF(Q$4&lt;=$A28,NORM.S.INV((Q$4-0.375)/($A28+0.25)),"")</f>
        <v/>
      </c>
      <c r="R28" s="17">
        <f>IF(R$4&lt;=$A28,NORM.S.INV((R$4-0.375)/($A28+0.25)),"")</f>
        <v/>
      </c>
      <c r="S28" s="17">
        <f>IF(S$4&lt;=$A28,NORM.S.INV((S$4-0.375)/($A28+0.25)),"")</f>
        <v/>
      </c>
      <c r="T28" s="17">
        <f>IF(T$4&lt;=$A28,NORM.S.INV((T$4-0.375)/($A28+0.25)),"")</f>
        <v/>
      </c>
      <c r="U28" s="17">
        <f>IF(U$4&lt;=$A28,NORM.S.INV((U$4-0.375)/($A28+0.25)),"")</f>
        <v/>
      </c>
      <c r="V28" s="17">
        <f>IF(V$4&lt;=$A28,NORM.S.INV((V$4-0.375)/($A28+0.25)),"")</f>
        <v/>
      </c>
      <c r="W28" s="17">
        <f>IF(W$4&lt;=$A28,NORM.S.INV((W$4-0.375)/($A28+0.25)),"")</f>
        <v/>
      </c>
      <c r="X28" s="17">
        <f>IF(X$4&lt;=$A28,NORM.S.INV((X$4-0.375)/($A28+0.25)),"")</f>
        <v/>
      </c>
      <c r="Y28" s="17">
        <f>IF(Y$4&lt;=$A28,NORM.S.INV((Y$4-0.375)/($A28+0.25)),"")</f>
        <v/>
      </c>
      <c r="Z28" s="17">
        <f>IF(Z$4&lt;=$A28,NORM.S.INV((Z$4-0.375)/($A28+0.25)),"")</f>
        <v/>
      </c>
      <c r="AA28" s="17">
        <f>IF(AA$4&lt;=$A28,NORM.S.INV((AA$4-0.375)/($A28+0.25)),"")</f>
        <v/>
      </c>
      <c r="AB28" s="17">
        <f>IF(AB$4&lt;=$A28,NORM.S.INV((AB$4-0.375)/($A28+0.25)),"")</f>
        <v/>
      </c>
      <c r="AC28" s="17">
        <f>IF(AC$4&lt;=$A28,NORM.S.INV((AC$4-0.375)/($A28+0.25)),"")</f>
        <v/>
      </c>
      <c r="AD28" s="17">
        <f>IF(AD$4&lt;=$A28,NORM.S.INV((AD$4-0.375)/($A28+0.25)),"")</f>
        <v/>
      </c>
      <c r="AE28" s="17">
        <f>IF(AE$4&lt;=$A28,NORM.S.INV((AE$4-0.375)/($A28+0.25)),"")</f>
        <v/>
      </c>
      <c r="AF28" s="17">
        <f>IF(AF$4&lt;=$A28,NORM.S.INV((AF$4-0.375)/($A28+0.25)),"")</f>
        <v/>
      </c>
      <c r="AG28" s="17">
        <f>IF(AG$4&lt;=$A28,NORM.S.INV((AG$4-0.375)/($A28+0.25)),"")</f>
        <v/>
      </c>
      <c r="AH28" s="17">
        <f>IF(AH$4&lt;=$A28,NORM.S.INV((AH$4-0.375)/($A28+0.25)),"")</f>
        <v/>
      </c>
      <c r="AI28" s="17">
        <f>IF(AI$4&lt;=$A28,NORM.S.INV((AI$4-0.375)/($A28+0.25)),"")</f>
        <v/>
      </c>
      <c r="AJ28" s="17">
        <f>IF(AJ$4&lt;=$A28,NORM.S.INV((AJ$4-0.375)/($A28+0.25)),"")</f>
        <v/>
      </c>
      <c r="AK28" s="17">
        <f>IF(AK$4&lt;=$A28,NORM.S.INV((AK$4-0.375)/($A28+0.25)),"")</f>
        <v/>
      </c>
      <c r="AL28" s="17">
        <f>IF(AL$4&lt;=$A28,NORM.S.INV((AL$4-0.375)/($A28+0.25)),"")</f>
        <v/>
      </c>
      <c r="AM28" s="17">
        <f>IF(AM$4&lt;=$A28,NORM.S.INV((AM$4-0.375)/($A28+0.25)),"")</f>
        <v/>
      </c>
      <c r="AN28" s="17">
        <f>IF(AN$4&lt;=$A28,NORM.S.INV((AN$4-0.375)/($A28+0.25)),"")</f>
        <v/>
      </c>
      <c r="AO28" s="17">
        <f>IF(AO$4&lt;=$A28,NORM.S.INV((AO$4-0.375)/($A28+0.25)),"")</f>
        <v/>
      </c>
      <c r="AP28" s="18">
        <f>STDEVP($B28:$AO28)</f>
        <v/>
      </c>
      <c r="AQ28" s="17">
        <f>AP28</f>
        <v/>
      </c>
      <c r="AR28" s="19" t="inlineStr">
        <is>
          <t>—</t>
        </is>
      </c>
      <c r="AS28" s="20" t="inlineStr">
        <is>
          <t>참고값 없음 (s=1 적용)</t>
        </is>
      </c>
    </row>
    <row r="29">
      <c r="A29" s="16" t="n">
        <v>26</v>
      </c>
      <c r="B29" s="17">
        <f>IF(B$4&lt;=$A29,NORM.S.INV((B$4-0.375)/($A29+0.25)),"")</f>
        <v/>
      </c>
      <c r="C29" s="17">
        <f>IF(C$4&lt;=$A29,NORM.S.INV((C$4-0.375)/($A29+0.25)),"")</f>
        <v/>
      </c>
      <c r="D29" s="17">
        <f>IF(D$4&lt;=$A29,NORM.S.INV((D$4-0.375)/($A29+0.25)),"")</f>
        <v/>
      </c>
      <c r="E29" s="17">
        <f>IF(E$4&lt;=$A29,NORM.S.INV((E$4-0.375)/($A29+0.25)),"")</f>
        <v/>
      </c>
      <c r="F29" s="17">
        <f>IF(F$4&lt;=$A29,NORM.S.INV((F$4-0.375)/($A29+0.25)),"")</f>
        <v/>
      </c>
      <c r="G29" s="17">
        <f>IF(G$4&lt;=$A29,NORM.S.INV((G$4-0.375)/($A29+0.25)),"")</f>
        <v/>
      </c>
      <c r="H29" s="17">
        <f>IF(H$4&lt;=$A29,NORM.S.INV((H$4-0.375)/($A29+0.25)),"")</f>
        <v/>
      </c>
      <c r="I29" s="17">
        <f>IF(I$4&lt;=$A29,NORM.S.INV((I$4-0.375)/($A29+0.25)),"")</f>
        <v/>
      </c>
      <c r="J29" s="17">
        <f>IF(J$4&lt;=$A29,NORM.S.INV((J$4-0.375)/($A29+0.25)),"")</f>
        <v/>
      </c>
      <c r="K29" s="17">
        <f>IF(K$4&lt;=$A29,NORM.S.INV((K$4-0.375)/($A29+0.25)),"")</f>
        <v/>
      </c>
      <c r="L29" s="17">
        <f>IF(L$4&lt;=$A29,NORM.S.INV((L$4-0.375)/($A29+0.25)),"")</f>
        <v/>
      </c>
      <c r="M29" s="17">
        <f>IF(M$4&lt;=$A29,NORM.S.INV((M$4-0.375)/($A29+0.25)),"")</f>
        <v/>
      </c>
      <c r="N29" s="17">
        <f>IF(N$4&lt;=$A29,NORM.S.INV((N$4-0.375)/($A29+0.25)),"")</f>
        <v/>
      </c>
      <c r="O29" s="17">
        <f>IF(O$4&lt;=$A29,NORM.S.INV((O$4-0.375)/($A29+0.25)),"")</f>
        <v/>
      </c>
      <c r="P29" s="17">
        <f>IF(P$4&lt;=$A29,NORM.S.INV((P$4-0.375)/($A29+0.25)),"")</f>
        <v/>
      </c>
      <c r="Q29" s="17">
        <f>IF(Q$4&lt;=$A29,NORM.S.INV((Q$4-0.375)/($A29+0.25)),"")</f>
        <v/>
      </c>
      <c r="R29" s="17">
        <f>IF(R$4&lt;=$A29,NORM.S.INV((R$4-0.375)/($A29+0.25)),"")</f>
        <v/>
      </c>
      <c r="S29" s="17">
        <f>IF(S$4&lt;=$A29,NORM.S.INV((S$4-0.375)/($A29+0.25)),"")</f>
        <v/>
      </c>
      <c r="T29" s="17">
        <f>IF(T$4&lt;=$A29,NORM.S.INV((T$4-0.375)/($A29+0.25)),"")</f>
        <v/>
      </c>
      <c r="U29" s="17">
        <f>IF(U$4&lt;=$A29,NORM.S.INV((U$4-0.375)/($A29+0.25)),"")</f>
        <v/>
      </c>
      <c r="V29" s="17">
        <f>IF(V$4&lt;=$A29,NORM.S.INV((V$4-0.375)/($A29+0.25)),"")</f>
        <v/>
      </c>
      <c r="W29" s="17">
        <f>IF(W$4&lt;=$A29,NORM.S.INV((W$4-0.375)/($A29+0.25)),"")</f>
        <v/>
      </c>
      <c r="X29" s="17">
        <f>IF(X$4&lt;=$A29,NORM.S.INV((X$4-0.375)/($A29+0.25)),"")</f>
        <v/>
      </c>
      <c r="Y29" s="17">
        <f>IF(Y$4&lt;=$A29,NORM.S.INV((Y$4-0.375)/($A29+0.25)),"")</f>
        <v/>
      </c>
      <c r="Z29" s="17">
        <f>IF(Z$4&lt;=$A29,NORM.S.INV((Z$4-0.375)/($A29+0.25)),"")</f>
        <v/>
      </c>
      <c r="AA29" s="17">
        <f>IF(AA$4&lt;=$A29,NORM.S.INV((AA$4-0.375)/($A29+0.25)),"")</f>
        <v/>
      </c>
      <c r="AB29" s="17">
        <f>IF(AB$4&lt;=$A29,NORM.S.INV((AB$4-0.375)/($A29+0.25)),"")</f>
        <v/>
      </c>
      <c r="AC29" s="17">
        <f>IF(AC$4&lt;=$A29,NORM.S.INV((AC$4-0.375)/($A29+0.25)),"")</f>
        <v/>
      </c>
      <c r="AD29" s="17">
        <f>IF(AD$4&lt;=$A29,NORM.S.INV((AD$4-0.375)/($A29+0.25)),"")</f>
        <v/>
      </c>
      <c r="AE29" s="17">
        <f>IF(AE$4&lt;=$A29,NORM.S.INV((AE$4-0.375)/($A29+0.25)),"")</f>
        <v/>
      </c>
      <c r="AF29" s="17">
        <f>IF(AF$4&lt;=$A29,NORM.S.INV((AF$4-0.375)/($A29+0.25)),"")</f>
        <v/>
      </c>
      <c r="AG29" s="17">
        <f>IF(AG$4&lt;=$A29,NORM.S.INV((AG$4-0.375)/($A29+0.25)),"")</f>
        <v/>
      </c>
      <c r="AH29" s="17">
        <f>IF(AH$4&lt;=$A29,NORM.S.INV((AH$4-0.375)/($A29+0.25)),"")</f>
        <v/>
      </c>
      <c r="AI29" s="17">
        <f>IF(AI$4&lt;=$A29,NORM.S.INV((AI$4-0.375)/($A29+0.25)),"")</f>
        <v/>
      </c>
      <c r="AJ29" s="17">
        <f>IF(AJ$4&lt;=$A29,NORM.S.INV((AJ$4-0.375)/($A29+0.25)),"")</f>
        <v/>
      </c>
      <c r="AK29" s="17">
        <f>IF(AK$4&lt;=$A29,NORM.S.INV((AK$4-0.375)/($A29+0.25)),"")</f>
        <v/>
      </c>
      <c r="AL29" s="17">
        <f>IF(AL$4&lt;=$A29,NORM.S.INV((AL$4-0.375)/($A29+0.25)),"")</f>
        <v/>
      </c>
      <c r="AM29" s="17">
        <f>IF(AM$4&lt;=$A29,NORM.S.INV((AM$4-0.375)/($A29+0.25)),"")</f>
        <v/>
      </c>
      <c r="AN29" s="17">
        <f>IF(AN$4&lt;=$A29,NORM.S.INV((AN$4-0.375)/($A29+0.25)),"")</f>
        <v/>
      </c>
      <c r="AO29" s="17">
        <f>IF(AO$4&lt;=$A29,NORM.S.INV((AO$4-0.375)/($A29+0.25)),"")</f>
        <v/>
      </c>
      <c r="AP29" s="18">
        <f>STDEVP($B29:$AO29)</f>
        <v/>
      </c>
      <c r="AQ29" s="17">
        <f>AP29</f>
        <v/>
      </c>
      <c r="AR29" s="19" t="inlineStr">
        <is>
          <t>—</t>
        </is>
      </c>
      <c r="AS29" s="20" t="inlineStr">
        <is>
          <t>참고값 없음 (s=1 적용)</t>
        </is>
      </c>
    </row>
    <row r="30">
      <c r="A30" s="16" t="n">
        <v>27</v>
      </c>
      <c r="B30" s="17">
        <f>IF(B$4&lt;=$A30,NORM.S.INV((B$4-0.375)/($A30+0.25)),"")</f>
        <v/>
      </c>
      <c r="C30" s="17">
        <f>IF(C$4&lt;=$A30,NORM.S.INV((C$4-0.375)/($A30+0.25)),"")</f>
        <v/>
      </c>
      <c r="D30" s="17">
        <f>IF(D$4&lt;=$A30,NORM.S.INV((D$4-0.375)/($A30+0.25)),"")</f>
        <v/>
      </c>
      <c r="E30" s="17">
        <f>IF(E$4&lt;=$A30,NORM.S.INV((E$4-0.375)/($A30+0.25)),"")</f>
        <v/>
      </c>
      <c r="F30" s="17">
        <f>IF(F$4&lt;=$A30,NORM.S.INV((F$4-0.375)/($A30+0.25)),"")</f>
        <v/>
      </c>
      <c r="G30" s="17">
        <f>IF(G$4&lt;=$A30,NORM.S.INV((G$4-0.375)/($A30+0.25)),"")</f>
        <v/>
      </c>
      <c r="H30" s="17">
        <f>IF(H$4&lt;=$A30,NORM.S.INV((H$4-0.375)/($A30+0.25)),"")</f>
        <v/>
      </c>
      <c r="I30" s="17">
        <f>IF(I$4&lt;=$A30,NORM.S.INV((I$4-0.375)/($A30+0.25)),"")</f>
        <v/>
      </c>
      <c r="J30" s="17">
        <f>IF(J$4&lt;=$A30,NORM.S.INV((J$4-0.375)/($A30+0.25)),"")</f>
        <v/>
      </c>
      <c r="K30" s="17">
        <f>IF(K$4&lt;=$A30,NORM.S.INV((K$4-0.375)/($A30+0.25)),"")</f>
        <v/>
      </c>
      <c r="L30" s="17">
        <f>IF(L$4&lt;=$A30,NORM.S.INV((L$4-0.375)/($A30+0.25)),"")</f>
        <v/>
      </c>
      <c r="M30" s="17">
        <f>IF(M$4&lt;=$A30,NORM.S.INV((M$4-0.375)/($A30+0.25)),"")</f>
        <v/>
      </c>
      <c r="N30" s="17">
        <f>IF(N$4&lt;=$A30,NORM.S.INV((N$4-0.375)/($A30+0.25)),"")</f>
        <v/>
      </c>
      <c r="O30" s="17">
        <f>IF(O$4&lt;=$A30,NORM.S.INV((O$4-0.375)/($A30+0.25)),"")</f>
        <v/>
      </c>
      <c r="P30" s="17">
        <f>IF(P$4&lt;=$A30,NORM.S.INV((P$4-0.375)/($A30+0.25)),"")</f>
        <v/>
      </c>
      <c r="Q30" s="17">
        <f>IF(Q$4&lt;=$A30,NORM.S.INV((Q$4-0.375)/($A30+0.25)),"")</f>
        <v/>
      </c>
      <c r="R30" s="17">
        <f>IF(R$4&lt;=$A30,NORM.S.INV((R$4-0.375)/($A30+0.25)),"")</f>
        <v/>
      </c>
      <c r="S30" s="17">
        <f>IF(S$4&lt;=$A30,NORM.S.INV((S$4-0.375)/($A30+0.25)),"")</f>
        <v/>
      </c>
      <c r="T30" s="17">
        <f>IF(T$4&lt;=$A30,NORM.S.INV((T$4-0.375)/($A30+0.25)),"")</f>
        <v/>
      </c>
      <c r="U30" s="17">
        <f>IF(U$4&lt;=$A30,NORM.S.INV((U$4-0.375)/($A30+0.25)),"")</f>
        <v/>
      </c>
      <c r="V30" s="17">
        <f>IF(V$4&lt;=$A30,NORM.S.INV((V$4-0.375)/($A30+0.25)),"")</f>
        <v/>
      </c>
      <c r="W30" s="17">
        <f>IF(W$4&lt;=$A30,NORM.S.INV((W$4-0.375)/($A30+0.25)),"")</f>
        <v/>
      </c>
      <c r="X30" s="17">
        <f>IF(X$4&lt;=$A30,NORM.S.INV((X$4-0.375)/($A30+0.25)),"")</f>
        <v/>
      </c>
      <c r="Y30" s="17">
        <f>IF(Y$4&lt;=$A30,NORM.S.INV((Y$4-0.375)/($A30+0.25)),"")</f>
        <v/>
      </c>
      <c r="Z30" s="17">
        <f>IF(Z$4&lt;=$A30,NORM.S.INV((Z$4-0.375)/($A30+0.25)),"")</f>
        <v/>
      </c>
      <c r="AA30" s="17">
        <f>IF(AA$4&lt;=$A30,NORM.S.INV((AA$4-0.375)/($A30+0.25)),"")</f>
        <v/>
      </c>
      <c r="AB30" s="17">
        <f>IF(AB$4&lt;=$A30,NORM.S.INV((AB$4-0.375)/($A30+0.25)),"")</f>
        <v/>
      </c>
      <c r="AC30" s="17">
        <f>IF(AC$4&lt;=$A30,NORM.S.INV((AC$4-0.375)/($A30+0.25)),"")</f>
        <v/>
      </c>
      <c r="AD30" s="17">
        <f>IF(AD$4&lt;=$A30,NORM.S.INV((AD$4-0.375)/($A30+0.25)),"")</f>
        <v/>
      </c>
      <c r="AE30" s="17">
        <f>IF(AE$4&lt;=$A30,NORM.S.INV((AE$4-0.375)/($A30+0.25)),"")</f>
        <v/>
      </c>
      <c r="AF30" s="17">
        <f>IF(AF$4&lt;=$A30,NORM.S.INV((AF$4-0.375)/($A30+0.25)),"")</f>
        <v/>
      </c>
      <c r="AG30" s="17">
        <f>IF(AG$4&lt;=$A30,NORM.S.INV((AG$4-0.375)/($A30+0.25)),"")</f>
        <v/>
      </c>
      <c r="AH30" s="17">
        <f>IF(AH$4&lt;=$A30,NORM.S.INV((AH$4-0.375)/($A30+0.25)),"")</f>
        <v/>
      </c>
      <c r="AI30" s="17">
        <f>IF(AI$4&lt;=$A30,NORM.S.INV((AI$4-0.375)/($A30+0.25)),"")</f>
        <v/>
      </c>
      <c r="AJ30" s="17">
        <f>IF(AJ$4&lt;=$A30,NORM.S.INV((AJ$4-0.375)/($A30+0.25)),"")</f>
        <v/>
      </c>
      <c r="AK30" s="17">
        <f>IF(AK$4&lt;=$A30,NORM.S.INV((AK$4-0.375)/($A30+0.25)),"")</f>
        <v/>
      </c>
      <c r="AL30" s="17">
        <f>IF(AL$4&lt;=$A30,NORM.S.INV((AL$4-0.375)/($A30+0.25)),"")</f>
        <v/>
      </c>
      <c r="AM30" s="17">
        <f>IF(AM$4&lt;=$A30,NORM.S.INV((AM$4-0.375)/($A30+0.25)),"")</f>
        <v/>
      </c>
      <c r="AN30" s="17">
        <f>IF(AN$4&lt;=$A30,NORM.S.INV((AN$4-0.375)/($A30+0.25)),"")</f>
        <v/>
      </c>
      <c r="AO30" s="17">
        <f>IF(AO$4&lt;=$A30,NORM.S.INV((AO$4-0.375)/($A30+0.25)),"")</f>
        <v/>
      </c>
      <c r="AP30" s="18">
        <f>STDEVP($B30:$AO30)</f>
        <v/>
      </c>
      <c r="AQ30" s="17">
        <f>AP30</f>
        <v/>
      </c>
      <c r="AR30" s="19" t="inlineStr">
        <is>
          <t>—</t>
        </is>
      </c>
      <c r="AS30" s="20" t="inlineStr">
        <is>
          <t>참고값 없음 (s=1 적용)</t>
        </is>
      </c>
    </row>
    <row r="31">
      <c r="A31" s="16" t="n">
        <v>28</v>
      </c>
      <c r="B31" s="17">
        <f>IF(B$4&lt;=$A31,NORM.S.INV((B$4-0.375)/($A31+0.25)),"")</f>
        <v/>
      </c>
      <c r="C31" s="17">
        <f>IF(C$4&lt;=$A31,NORM.S.INV((C$4-0.375)/($A31+0.25)),"")</f>
        <v/>
      </c>
      <c r="D31" s="17">
        <f>IF(D$4&lt;=$A31,NORM.S.INV((D$4-0.375)/($A31+0.25)),"")</f>
        <v/>
      </c>
      <c r="E31" s="17">
        <f>IF(E$4&lt;=$A31,NORM.S.INV((E$4-0.375)/($A31+0.25)),"")</f>
        <v/>
      </c>
      <c r="F31" s="17">
        <f>IF(F$4&lt;=$A31,NORM.S.INV((F$4-0.375)/($A31+0.25)),"")</f>
        <v/>
      </c>
      <c r="G31" s="17">
        <f>IF(G$4&lt;=$A31,NORM.S.INV((G$4-0.375)/($A31+0.25)),"")</f>
        <v/>
      </c>
      <c r="H31" s="17">
        <f>IF(H$4&lt;=$A31,NORM.S.INV((H$4-0.375)/($A31+0.25)),"")</f>
        <v/>
      </c>
      <c r="I31" s="17">
        <f>IF(I$4&lt;=$A31,NORM.S.INV((I$4-0.375)/($A31+0.25)),"")</f>
        <v/>
      </c>
      <c r="J31" s="17">
        <f>IF(J$4&lt;=$A31,NORM.S.INV((J$4-0.375)/($A31+0.25)),"")</f>
        <v/>
      </c>
      <c r="K31" s="17">
        <f>IF(K$4&lt;=$A31,NORM.S.INV((K$4-0.375)/($A31+0.25)),"")</f>
        <v/>
      </c>
      <c r="L31" s="17">
        <f>IF(L$4&lt;=$A31,NORM.S.INV((L$4-0.375)/($A31+0.25)),"")</f>
        <v/>
      </c>
      <c r="M31" s="17">
        <f>IF(M$4&lt;=$A31,NORM.S.INV((M$4-0.375)/($A31+0.25)),"")</f>
        <v/>
      </c>
      <c r="N31" s="17">
        <f>IF(N$4&lt;=$A31,NORM.S.INV((N$4-0.375)/($A31+0.25)),"")</f>
        <v/>
      </c>
      <c r="O31" s="17">
        <f>IF(O$4&lt;=$A31,NORM.S.INV((O$4-0.375)/($A31+0.25)),"")</f>
        <v/>
      </c>
      <c r="P31" s="17">
        <f>IF(P$4&lt;=$A31,NORM.S.INV((P$4-0.375)/($A31+0.25)),"")</f>
        <v/>
      </c>
      <c r="Q31" s="17">
        <f>IF(Q$4&lt;=$A31,NORM.S.INV((Q$4-0.375)/($A31+0.25)),"")</f>
        <v/>
      </c>
      <c r="R31" s="17">
        <f>IF(R$4&lt;=$A31,NORM.S.INV((R$4-0.375)/($A31+0.25)),"")</f>
        <v/>
      </c>
      <c r="S31" s="17">
        <f>IF(S$4&lt;=$A31,NORM.S.INV((S$4-0.375)/($A31+0.25)),"")</f>
        <v/>
      </c>
      <c r="T31" s="17">
        <f>IF(T$4&lt;=$A31,NORM.S.INV((T$4-0.375)/($A31+0.25)),"")</f>
        <v/>
      </c>
      <c r="U31" s="17">
        <f>IF(U$4&lt;=$A31,NORM.S.INV((U$4-0.375)/($A31+0.25)),"")</f>
        <v/>
      </c>
      <c r="V31" s="17">
        <f>IF(V$4&lt;=$A31,NORM.S.INV((V$4-0.375)/($A31+0.25)),"")</f>
        <v/>
      </c>
      <c r="W31" s="17">
        <f>IF(W$4&lt;=$A31,NORM.S.INV((W$4-0.375)/($A31+0.25)),"")</f>
        <v/>
      </c>
      <c r="X31" s="17">
        <f>IF(X$4&lt;=$A31,NORM.S.INV((X$4-0.375)/($A31+0.25)),"")</f>
        <v/>
      </c>
      <c r="Y31" s="17">
        <f>IF(Y$4&lt;=$A31,NORM.S.INV((Y$4-0.375)/($A31+0.25)),"")</f>
        <v/>
      </c>
      <c r="Z31" s="17">
        <f>IF(Z$4&lt;=$A31,NORM.S.INV((Z$4-0.375)/($A31+0.25)),"")</f>
        <v/>
      </c>
      <c r="AA31" s="17">
        <f>IF(AA$4&lt;=$A31,NORM.S.INV((AA$4-0.375)/($A31+0.25)),"")</f>
        <v/>
      </c>
      <c r="AB31" s="17">
        <f>IF(AB$4&lt;=$A31,NORM.S.INV((AB$4-0.375)/($A31+0.25)),"")</f>
        <v/>
      </c>
      <c r="AC31" s="17">
        <f>IF(AC$4&lt;=$A31,NORM.S.INV((AC$4-0.375)/($A31+0.25)),"")</f>
        <v/>
      </c>
      <c r="AD31" s="17">
        <f>IF(AD$4&lt;=$A31,NORM.S.INV((AD$4-0.375)/($A31+0.25)),"")</f>
        <v/>
      </c>
      <c r="AE31" s="17">
        <f>IF(AE$4&lt;=$A31,NORM.S.INV((AE$4-0.375)/($A31+0.25)),"")</f>
        <v/>
      </c>
      <c r="AF31" s="17">
        <f>IF(AF$4&lt;=$A31,NORM.S.INV((AF$4-0.375)/($A31+0.25)),"")</f>
        <v/>
      </c>
      <c r="AG31" s="17">
        <f>IF(AG$4&lt;=$A31,NORM.S.INV((AG$4-0.375)/($A31+0.25)),"")</f>
        <v/>
      </c>
      <c r="AH31" s="17">
        <f>IF(AH$4&lt;=$A31,NORM.S.INV((AH$4-0.375)/($A31+0.25)),"")</f>
        <v/>
      </c>
      <c r="AI31" s="17">
        <f>IF(AI$4&lt;=$A31,NORM.S.INV((AI$4-0.375)/($A31+0.25)),"")</f>
        <v/>
      </c>
      <c r="AJ31" s="17">
        <f>IF(AJ$4&lt;=$A31,NORM.S.INV((AJ$4-0.375)/($A31+0.25)),"")</f>
        <v/>
      </c>
      <c r="AK31" s="17">
        <f>IF(AK$4&lt;=$A31,NORM.S.INV((AK$4-0.375)/($A31+0.25)),"")</f>
        <v/>
      </c>
      <c r="AL31" s="17">
        <f>IF(AL$4&lt;=$A31,NORM.S.INV((AL$4-0.375)/($A31+0.25)),"")</f>
        <v/>
      </c>
      <c r="AM31" s="17">
        <f>IF(AM$4&lt;=$A31,NORM.S.INV((AM$4-0.375)/($A31+0.25)),"")</f>
        <v/>
      </c>
      <c r="AN31" s="17">
        <f>IF(AN$4&lt;=$A31,NORM.S.INV((AN$4-0.375)/($A31+0.25)),"")</f>
        <v/>
      </c>
      <c r="AO31" s="17">
        <f>IF(AO$4&lt;=$A31,NORM.S.INV((AO$4-0.375)/($A31+0.25)),"")</f>
        <v/>
      </c>
      <c r="AP31" s="18">
        <f>STDEVP($B31:$AO31)</f>
        <v/>
      </c>
      <c r="AQ31" s="17">
        <f>AP31</f>
        <v/>
      </c>
      <c r="AR31" s="19" t="inlineStr">
        <is>
          <t>—</t>
        </is>
      </c>
      <c r="AS31" s="20" t="inlineStr">
        <is>
          <t>참고값 없음 (s=1 적용)</t>
        </is>
      </c>
    </row>
    <row r="32">
      <c r="A32" s="16" t="n">
        <v>29</v>
      </c>
      <c r="B32" s="17">
        <f>IF(B$4&lt;=$A32,NORM.S.INV((B$4-0.375)/($A32+0.25)),"")</f>
        <v/>
      </c>
      <c r="C32" s="17">
        <f>IF(C$4&lt;=$A32,NORM.S.INV((C$4-0.375)/($A32+0.25)),"")</f>
        <v/>
      </c>
      <c r="D32" s="17">
        <f>IF(D$4&lt;=$A32,NORM.S.INV((D$4-0.375)/($A32+0.25)),"")</f>
        <v/>
      </c>
      <c r="E32" s="17">
        <f>IF(E$4&lt;=$A32,NORM.S.INV((E$4-0.375)/($A32+0.25)),"")</f>
        <v/>
      </c>
      <c r="F32" s="17">
        <f>IF(F$4&lt;=$A32,NORM.S.INV((F$4-0.375)/($A32+0.25)),"")</f>
        <v/>
      </c>
      <c r="G32" s="17">
        <f>IF(G$4&lt;=$A32,NORM.S.INV((G$4-0.375)/($A32+0.25)),"")</f>
        <v/>
      </c>
      <c r="H32" s="17">
        <f>IF(H$4&lt;=$A32,NORM.S.INV((H$4-0.375)/($A32+0.25)),"")</f>
        <v/>
      </c>
      <c r="I32" s="17">
        <f>IF(I$4&lt;=$A32,NORM.S.INV((I$4-0.375)/($A32+0.25)),"")</f>
        <v/>
      </c>
      <c r="J32" s="17">
        <f>IF(J$4&lt;=$A32,NORM.S.INV((J$4-0.375)/($A32+0.25)),"")</f>
        <v/>
      </c>
      <c r="K32" s="17">
        <f>IF(K$4&lt;=$A32,NORM.S.INV((K$4-0.375)/($A32+0.25)),"")</f>
        <v/>
      </c>
      <c r="L32" s="17">
        <f>IF(L$4&lt;=$A32,NORM.S.INV((L$4-0.375)/($A32+0.25)),"")</f>
        <v/>
      </c>
      <c r="M32" s="17">
        <f>IF(M$4&lt;=$A32,NORM.S.INV((M$4-0.375)/($A32+0.25)),"")</f>
        <v/>
      </c>
      <c r="N32" s="17">
        <f>IF(N$4&lt;=$A32,NORM.S.INV((N$4-0.375)/($A32+0.25)),"")</f>
        <v/>
      </c>
      <c r="O32" s="17">
        <f>IF(O$4&lt;=$A32,NORM.S.INV((O$4-0.375)/($A32+0.25)),"")</f>
        <v/>
      </c>
      <c r="P32" s="17">
        <f>IF(P$4&lt;=$A32,NORM.S.INV((P$4-0.375)/($A32+0.25)),"")</f>
        <v/>
      </c>
      <c r="Q32" s="17">
        <f>IF(Q$4&lt;=$A32,NORM.S.INV((Q$4-0.375)/($A32+0.25)),"")</f>
        <v/>
      </c>
      <c r="R32" s="17">
        <f>IF(R$4&lt;=$A32,NORM.S.INV((R$4-0.375)/($A32+0.25)),"")</f>
        <v/>
      </c>
      <c r="S32" s="17">
        <f>IF(S$4&lt;=$A32,NORM.S.INV((S$4-0.375)/($A32+0.25)),"")</f>
        <v/>
      </c>
      <c r="T32" s="17">
        <f>IF(T$4&lt;=$A32,NORM.S.INV((T$4-0.375)/($A32+0.25)),"")</f>
        <v/>
      </c>
      <c r="U32" s="17">
        <f>IF(U$4&lt;=$A32,NORM.S.INV((U$4-0.375)/($A32+0.25)),"")</f>
        <v/>
      </c>
      <c r="V32" s="17">
        <f>IF(V$4&lt;=$A32,NORM.S.INV((V$4-0.375)/($A32+0.25)),"")</f>
        <v/>
      </c>
      <c r="W32" s="17">
        <f>IF(W$4&lt;=$A32,NORM.S.INV((W$4-0.375)/($A32+0.25)),"")</f>
        <v/>
      </c>
      <c r="X32" s="17">
        <f>IF(X$4&lt;=$A32,NORM.S.INV((X$4-0.375)/($A32+0.25)),"")</f>
        <v/>
      </c>
      <c r="Y32" s="17">
        <f>IF(Y$4&lt;=$A32,NORM.S.INV((Y$4-0.375)/($A32+0.25)),"")</f>
        <v/>
      </c>
      <c r="Z32" s="17">
        <f>IF(Z$4&lt;=$A32,NORM.S.INV((Z$4-0.375)/($A32+0.25)),"")</f>
        <v/>
      </c>
      <c r="AA32" s="17">
        <f>IF(AA$4&lt;=$A32,NORM.S.INV((AA$4-0.375)/($A32+0.25)),"")</f>
        <v/>
      </c>
      <c r="AB32" s="17">
        <f>IF(AB$4&lt;=$A32,NORM.S.INV((AB$4-0.375)/($A32+0.25)),"")</f>
        <v/>
      </c>
      <c r="AC32" s="17">
        <f>IF(AC$4&lt;=$A32,NORM.S.INV((AC$4-0.375)/($A32+0.25)),"")</f>
        <v/>
      </c>
      <c r="AD32" s="17">
        <f>IF(AD$4&lt;=$A32,NORM.S.INV((AD$4-0.375)/($A32+0.25)),"")</f>
        <v/>
      </c>
      <c r="AE32" s="17">
        <f>IF(AE$4&lt;=$A32,NORM.S.INV((AE$4-0.375)/($A32+0.25)),"")</f>
        <v/>
      </c>
      <c r="AF32" s="17">
        <f>IF(AF$4&lt;=$A32,NORM.S.INV((AF$4-0.375)/($A32+0.25)),"")</f>
        <v/>
      </c>
      <c r="AG32" s="17">
        <f>IF(AG$4&lt;=$A32,NORM.S.INV((AG$4-0.375)/($A32+0.25)),"")</f>
        <v/>
      </c>
      <c r="AH32" s="17">
        <f>IF(AH$4&lt;=$A32,NORM.S.INV((AH$4-0.375)/($A32+0.25)),"")</f>
        <v/>
      </c>
      <c r="AI32" s="17">
        <f>IF(AI$4&lt;=$A32,NORM.S.INV((AI$4-0.375)/($A32+0.25)),"")</f>
        <v/>
      </c>
      <c r="AJ32" s="17">
        <f>IF(AJ$4&lt;=$A32,NORM.S.INV((AJ$4-0.375)/($A32+0.25)),"")</f>
        <v/>
      </c>
      <c r="AK32" s="17">
        <f>IF(AK$4&lt;=$A32,NORM.S.INV((AK$4-0.375)/($A32+0.25)),"")</f>
        <v/>
      </c>
      <c r="AL32" s="17">
        <f>IF(AL$4&lt;=$A32,NORM.S.INV((AL$4-0.375)/($A32+0.25)),"")</f>
        <v/>
      </c>
      <c r="AM32" s="17">
        <f>IF(AM$4&lt;=$A32,NORM.S.INV((AM$4-0.375)/($A32+0.25)),"")</f>
        <v/>
      </c>
      <c r="AN32" s="17">
        <f>IF(AN$4&lt;=$A32,NORM.S.INV((AN$4-0.375)/($A32+0.25)),"")</f>
        <v/>
      </c>
      <c r="AO32" s="17">
        <f>IF(AO$4&lt;=$A32,NORM.S.INV((AO$4-0.375)/($A32+0.25)),"")</f>
        <v/>
      </c>
      <c r="AP32" s="18">
        <f>STDEVP($B32:$AO32)</f>
        <v/>
      </c>
      <c r="AQ32" s="17">
        <f>AP32</f>
        <v/>
      </c>
      <c r="AR32" s="19" t="inlineStr">
        <is>
          <t>—</t>
        </is>
      </c>
      <c r="AS32" s="20" t="inlineStr">
        <is>
          <t>참고값 없음 (s=1 적용)</t>
        </is>
      </c>
    </row>
    <row r="33">
      <c r="A33" s="16" t="n">
        <v>30</v>
      </c>
      <c r="B33" s="17">
        <f>IF(B$4&lt;=$A33,NORM.S.INV((B$4-0.375)/($A33+0.25)),"")</f>
        <v/>
      </c>
      <c r="C33" s="17">
        <f>IF(C$4&lt;=$A33,NORM.S.INV((C$4-0.375)/($A33+0.25)),"")</f>
        <v/>
      </c>
      <c r="D33" s="17">
        <f>IF(D$4&lt;=$A33,NORM.S.INV((D$4-0.375)/($A33+0.25)),"")</f>
        <v/>
      </c>
      <c r="E33" s="17">
        <f>IF(E$4&lt;=$A33,NORM.S.INV((E$4-0.375)/($A33+0.25)),"")</f>
        <v/>
      </c>
      <c r="F33" s="17">
        <f>IF(F$4&lt;=$A33,NORM.S.INV((F$4-0.375)/($A33+0.25)),"")</f>
        <v/>
      </c>
      <c r="G33" s="17">
        <f>IF(G$4&lt;=$A33,NORM.S.INV((G$4-0.375)/($A33+0.25)),"")</f>
        <v/>
      </c>
      <c r="H33" s="17">
        <f>IF(H$4&lt;=$A33,NORM.S.INV((H$4-0.375)/($A33+0.25)),"")</f>
        <v/>
      </c>
      <c r="I33" s="17">
        <f>IF(I$4&lt;=$A33,NORM.S.INV((I$4-0.375)/($A33+0.25)),"")</f>
        <v/>
      </c>
      <c r="J33" s="17">
        <f>IF(J$4&lt;=$A33,NORM.S.INV((J$4-0.375)/($A33+0.25)),"")</f>
        <v/>
      </c>
      <c r="K33" s="17">
        <f>IF(K$4&lt;=$A33,NORM.S.INV((K$4-0.375)/($A33+0.25)),"")</f>
        <v/>
      </c>
      <c r="L33" s="17">
        <f>IF(L$4&lt;=$A33,NORM.S.INV((L$4-0.375)/($A33+0.25)),"")</f>
        <v/>
      </c>
      <c r="M33" s="17">
        <f>IF(M$4&lt;=$A33,NORM.S.INV((M$4-0.375)/($A33+0.25)),"")</f>
        <v/>
      </c>
      <c r="N33" s="17">
        <f>IF(N$4&lt;=$A33,NORM.S.INV((N$4-0.375)/($A33+0.25)),"")</f>
        <v/>
      </c>
      <c r="O33" s="17">
        <f>IF(O$4&lt;=$A33,NORM.S.INV((O$4-0.375)/($A33+0.25)),"")</f>
        <v/>
      </c>
      <c r="P33" s="17">
        <f>IF(P$4&lt;=$A33,NORM.S.INV((P$4-0.375)/($A33+0.25)),"")</f>
        <v/>
      </c>
      <c r="Q33" s="17">
        <f>IF(Q$4&lt;=$A33,NORM.S.INV((Q$4-0.375)/($A33+0.25)),"")</f>
        <v/>
      </c>
      <c r="R33" s="17">
        <f>IF(R$4&lt;=$A33,NORM.S.INV((R$4-0.375)/($A33+0.25)),"")</f>
        <v/>
      </c>
      <c r="S33" s="17">
        <f>IF(S$4&lt;=$A33,NORM.S.INV((S$4-0.375)/($A33+0.25)),"")</f>
        <v/>
      </c>
      <c r="T33" s="17">
        <f>IF(T$4&lt;=$A33,NORM.S.INV((T$4-0.375)/($A33+0.25)),"")</f>
        <v/>
      </c>
      <c r="U33" s="17">
        <f>IF(U$4&lt;=$A33,NORM.S.INV((U$4-0.375)/($A33+0.25)),"")</f>
        <v/>
      </c>
      <c r="V33" s="17">
        <f>IF(V$4&lt;=$A33,NORM.S.INV((V$4-0.375)/($A33+0.25)),"")</f>
        <v/>
      </c>
      <c r="W33" s="17">
        <f>IF(W$4&lt;=$A33,NORM.S.INV((W$4-0.375)/($A33+0.25)),"")</f>
        <v/>
      </c>
      <c r="X33" s="17">
        <f>IF(X$4&lt;=$A33,NORM.S.INV((X$4-0.375)/($A33+0.25)),"")</f>
        <v/>
      </c>
      <c r="Y33" s="17">
        <f>IF(Y$4&lt;=$A33,NORM.S.INV((Y$4-0.375)/($A33+0.25)),"")</f>
        <v/>
      </c>
      <c r="Z33" s="17">
        <f>IF(Z$4&lt;=$A33,NORM.S.INV((Z$4-0.375)/($A33+0.25)),"")</f>
        <v/>
      </c>
      <c r="AA33" s="17">
        <f>IF(AA$4&lt;=$A33,NORM.S.INV((AA$4-0.375)/($A33+0.25)),"")</f>
        <v/>
      </c>
      <c r="AB33" s="17">
        <f>IF(AB$4&lt;=$A33,NORM.S.INV((AB$4-0.375)/($A33+0.25)),"")</f>
        <v/>
      </c>
      <c r="AC33" s="17">
        <f>IF(AC$4&lt;=$A33,NORM.S.INV((AC$4-0.375)/($A33+0.25)),"")</f>
        <v/>
      </c>
      <c r="AD33" s="17">
        <f>IF(AD$4&lt;=$A33,NORM.S.INV((AD$4-0.375)/($A33+0.25)),"")</f>
        <v/>
      </c>
      <c r="AE33" s="17">
        <f>IF(AE$4&lt;=$A33,NORM.S.INV((AE$4-0.375)/($A33+0.25)),"")</f>
        <v/>
      </c>
      <c r="AF33" s="17">
        <f>IF(AF$4&lt;=$A33,NORM.S.INV((AF$4-0.375)/($A33+0.25)),"")</f>
        <v/>
      </c>
      <c r="AG33" s="17">
        <f>IF(AG$4&lt;=$A33,NORM.S.INV((AG$4-0.375)/($A33+0.25)),"")</f>
        <v/>
      </c>
      <c r="AH33" s="17">
        <f>IF(AH$4&lt;=$A33,NORM.S.INV((AH$4-0.375)/($A33+0.25)),"")</f>
        <v/>
      </c>
      <c r="AI33" s="17">
        <f>IF(AI$4&lt;=$A33,NORM.S.INV((AI$4-0.375)/($A33+0.25)),"")</f>
        <v/>
      </c>
      <c r="AJ33" s="17">
        <f>IF(AJ$4&lt;=$A33,NORM.S.INV((AJ$4-0.375)/($A33+0.25)),"")</f>
        <v/>
      </c>
      <c r="AK33" s="17">
        <f>IF(AK$4&lt;=$A33,NORM.S.INV((AK$4-0.375)/($A33+0.25)),"")</f>
        <v/>
      </c>
      <c r="AL33" s="17">
        <f>IF(AL$4&lt;=$A33,NORM.S.INV((AL$4-0.375)/($A33+0.25)),"")</f>
        <v/>
      </c>
      <c r="AM33" s="17">
        <f>IF(AM$4&lt;=$A33,NORM.S.INV((AM$4-0.375)/($A33+0.25)),"")</f>
        <v/>
      </c>
      <c r="AN33" s="17">
        <f>IF(AN$4&lt;=$A33,NORM.S.INV((AN$4-0.375)/($A33+0.25)),"")</f>
        <v/>
      </c>
      <c r="AO33" s="17">
        <f>IF(AO$4&lt;=$A33,NORM.S.INV((AO$4-0.375)/($A33+0.25)),"")</f>
        <v/>
      </c>
      <c r="AP33" s="18">
        <f>STDEVP($B33:$AO33)</f>
        <v/>
      </c>
      <c r="AQ33" s="17">
        <f>AP33</f>
        <v/>
      </c>
      <c r="AR33" s="19" t="inlineStr">
        <is>
          <t>—</t>
        </is>
      </c>
      <c r="AS33" s="20" t="inlineStr">
        <is>
          <t>참고값 없음 (s=1 적용)</t>
        </is>
      </c>
    </row>
    <row r="34">
      <c r="A34" s="16" t="n">
        <v>31</v>
      </c>
      <c r="B34" s="17">
        <f>IF(B$4&lt;=$A34,NORM.S.INV((B$4-0.375)/($A34+0.25)),"")</f>
        <v/>
      </c>
      <c r="C34" s="17">
        <f>IF(C$4&lt;=$A34,NORM.S.INV((C$4-0.375)/($A34+0.25)),"")</f>
        <v/>
      </c>
      <c r="D34" s="17">
        <f>IF(D$4&lt;=$A34,NORM.S.INV((D$4-0.375)/($A34+0.25)),"")</f>
        <v/>
      </c>
      <c r="E34" s="17">
        <f>IF(E$4&lt;=$A34,NORM.S.INV((E$4-0.375)/($A34+0.25)),"")</f>
        <v/>
      </c>
      <c r="F34" s="17">
        <f>IF(F$4&lt;=$A34,NORM.S.INV((F$4-0.375)/($A34+0.25)),"")</f>
        <v/>
      </c>
      <c r="G34" s="17">
        <f>IF(G$4&lt;=$A34,NORM.S.INV((G$4-0.375)/($A34+0.25)),"")</f>
        <v/>
      </c>
      <c r="H34" s="17">
        <f>IF(H$4&lt;=$A34,NORM.S.INV((H$4-0.375)/($A34+0.25)),"")</f>
        <v/>
      </c>
      <c r="I34" s="17">
        <f>IF(I$4&lt;=$A34,NORM.S.INV((I$4-0.375)/($A34+0.25)),"")</f>
        <v/>
      </c>
      <c r="J34" s="17">
        <f>IF(J$4&lt;=$A34,NORM.S.INV((J$4-0.375)/($A34+0.25)),"")</f>
        <v/>
      </c>
      <c r="K34" s="17">
        <f>IF(K$4&lt;=$A34,NORM.S.INV((K$4-0.375)/($A34+0.25)),"")</f>
        <v/>
      </c>
      <c r="L34" s="17">
        <f>IF(L$4&lt;=$A34,NORM.S.INV((L$4-0.375)/($A34+0.25)),"")</f>
        <v/>
      </c>
      <c r="M34" s="17">
        <f>IF(M$4&lt;=$A34,NORM.S.INV((M$4-0.375)/($A34+0.25)),"")</f>
        <v/>
      </c>
      <c r="N34" s="17">
        <f>IF(N$4&lt;=$A34,NORM.S.INV((N$4-0.375)/($A34+0.25)),"")</f>
        <v/>
      </c>
      <c r="O34" s="17">
        <f>IF(O$4&lt;=$A34,NORM.S.INV((O$4-0.375)/($A34+0.25)),"")</f>
        <v/>
      </c>
      <c r="P34" s="17">
        <f>IF(P$4&lt;=$A34,NORM.S.INV((P$4-0.375)/($A34+0.25)),"")</f>
        <v/>
      </c>
      <c r="Q34" s="17">
        <f>IF(Q$4&lt;=$A34,NORM.S.INV((Q$4-0.375)/($A34+0.25)),"")</f>
        <v/>
      </c>
      <c r="R34" s="17">
        <f>IF(R$4&lt;=$A34,NORM.S.INV((R$4-0.375)/($A34+0.25)),"")</f>
        <v/>
      </c>
      <c r="S34" s="17">
        <f>IF(S$4&lt;=$A34,NORM.S.INV((S$4-0.375)/($A34+0.25)),"")</f>
        <v/>
      </c>
      <c r="T34" s="17">
        <f>IF(T$4&lt;=$A34,NORM.S.INV((T$4-0.375)/($A34+0.25)),"")</f>
        <v/>
      </c>
      <c r="U34" s="17">
        <f>IF(U$4&lt;=$A34,NORM.S.INV((U$4-0.375)/($A34+0.25)),"")</f>
        <v/>
      </c>
      <c r="V34" s="17">
        <f>IF(V$4&lt;=$A34,NORM.S.INV((V$4-0.375)/($A34+0.25)),"")</f>
        <v/>
      </c>
      <c r="W34" s="17">
        <f>IF(W$4&lt;=$A34,NORM.S.INV((W$4-0.375)/($A34+0.25)),"")</f>
        <v/>
      </c>
      <c r="X34" s="17">
        <f>IF(X$4&lt;=$A34,NORM.S.INV((X$4-0.375)/($A34+0.25)),"")</f>
        <v/>
      </c>
      <c r="Y34" s="17">
        <f>IF(Y$4&lt;=$A34,NORM.S.INV((Y$4-0.375)/($A34+0.25)),"")</f>
        <v/>
      </c>
      <c r="Z34" s="17">
        <f>IF(Z$4&lt;=$A34,NORM.S.INV((Z$4-0.375)/($A34+0.25)),"")</f>
        <v/>
      </c>
      <c r="AA34" s="17">
        <f>IF(AA$4&lt;=$A34,NORM.S.INV((AA$4-0.375)/($A34+0.25)),"")</f>
        <v/>
      </c>
      <c r="AB34" s="17">
        <f>IF(AB$4&lt;=$A34,NORM.S.INV((AB$4-0.375)/($A34+0.25)),"")</f>
        <v/>
      </c>
      <c r="AC34" s="17">
        <f>IF(AC$4&lt;=$A34,NORM.S.INV((AC$4-0.375)/($A34+0.25)),"")</f>
        <v/>
      </c>
      <c r="AD34" s="17">
        <f>IF(AD$4&lt;=$A34,NORM.S.INV((AD$4-0.375)/($A34+0.25)),"")</f>
        <v/>
      </c>
      <c r="AE34" s="17">
        <f>IF(AE$4&lt;=$A34,NORM.S.INV((AE$4-0.375)/($A34+0.25)),"")</f>
        <v/>
      </c>
      <c r="AF34" s="17">
        <f>IF(AF$4&lt;=$A34,NORM.S.INV((AF$4-0.375)/($A34+0.25)),"")</f>
        <v/>
      </c>
      <c r="AG34" s="17">
        <f>IF(AG$4&lt;=$A34,NORM.S.INV((AG$4-0.375)/($A34+0.25)),"")</f>
        <v/>
      </c>
      <c r="AH34" s="17">
        <f>IF(AH$4&lt;=$A34,NORM.S.INV((AH$4-0.375)/($A34+0.25)),"")</f>
        <v/>
      </c>
      <c r="AI34" s="17">
        <f>IF(AI$4&lt;=$A34,NORM.S.INV((AI$4-0.375)/($A34+0.25)),"")</f>
        <v/>
      </c>
      <c r="AJ34" s="17">
        <f>IF(AJ$4&lt;=$A34,NORM.S.INV((AJ$4-0.375)/($A34+0.25)),"")</f>
        <v/>
      </c>
      <c r="AK34" s="17">
        <f>IF(AK$4&lt;=$A34,NORM.S.INV((AK$4-0.375)/($A34+0.25)),"")</f>
        <v/>
      </c>
      <c r="AL34" s="17">
        <f>IF(AL$4&lt;=$A34,NORM.S.INV((AL$4-0.375)/($A34+0.25)),"")</f>
        <v/>
      </c>
      <c r="AM34" s="17">
        <f>IF(AM$4&lt;=$A34,NORM.S.INV((AM$4-0.375)/($A34+0.25)),"")</f>
        <v/>
      </c>
      <c r="AN34" s="17">
        <f>IF(AN$4&lt;=$A34,NORM.S.INV((AN$4-0.375)/($A34+0.25)),"")</f>
        <v/>
      </c>
      <c r="AO34" s="17">
        <f>IF(AO$4&lt;=$A34,NORM.S.INV((AO$4-0.375)/($A34+0.25)),"")</f>
        <v/>
      </c>
      <c r="AP34" s="18">
        <f>STDEVP($B34:$AO34)</f>
        <v/>
      </c>
      <c r="AQ34" s="17">
        <f>AP34</f>
        <v/>
      </c>
      <c r="AR34" s="19" t="inlineStr">
        <is>
          <t>—</t>
        </is>
      </c>
      <c r="AS34" s="20" t="inlineStr">
        <is>
          <t>참고값 없음 (s=1 적용)</t>
        </is>
      </c>
    </row>
    <row r="35">
      <c r="A35" s="16" t="n">
        <v>32</v>
      </c>
      <c r="B35" s="17">
        <f>IF(B$4&lt;=$A35,NORM.S.INV((B$4-0.375)/($A35+0.25)),"")</f>
        <v/>
      </c>
      <c r="C35" s="17">
        <f>IF(C$4&lt;=$A35,NORM.S.INV((C$4-0.375)/($A35+0.25)),"")</f>
        <v/>
      </c>
      <c r="D35" s="17">
        <f>IF(D$4&lt;=$A35,NORM.S.INV((D$4-0.375)/($A35+0.25)),"")</f>
        <v/>
      </c>
      <c r="E35" s="17">
        <f>IF(E$4&lt;=$A35,NORM.S.INV((E$4-0.375)/($A35+0.25)),"")</f>
        <v/>
      </c>
      <c r="F35" s="17">
        <f>IF(F$4&lt;=$A35,NORM.S.INV((F$4-0.375)/($A35+0.25)),"")</f>
        <v/>
      </c>
      <c r="G35" s="17">
        <f>IF(G$4&lt;=$A35,NORM.S.INV((G$4-0.375)/($A35+0.25)),"")</f>
        <v/>
      </c>
      <c r="H35" s="17">
        <f>IF(H$4&lt;=$A35,NORM.S.INV((H$4-0.375)/($A35+0.25)),"")</f>
        <v/>
      </c>
      <c r="I35" s="17">
        <f>IF(I$4&lt;=$A35,NORM.S.INV((I$4-0.375)/($A35+0.25)),"")</f>
        <v/>
      </c>
      <c r="J35" s="17">
        <f>IF(J$4&lt;=$A35,NORM.S.INV((J$4-0.375)/($A35+0.25)),"")</f>
        <v/>
      </c>
      <c r="K35" s="17">
        <f>IF(K$4&lt;=$A35,NORM.S.INV((K$4-0.375)/($A35+0.25)),"")</f>
        <v/>
      </c>
      <c r="L35" s="17">
        <f>IF(L$4&lt;=$A35,NORM.S.INV((L$4-0.375)/($A35+0.25)),"")</f>
        <v/>
      </c>
      <c r="M35" s="17">
        <f>IF(M$4&lt;=$A35,NORM.S.INV((M$4-0.375)/($A35+0.25)),"")</f>
        <v/>
      </c>
      <c r="N35" s="17">
        <f>IF(N$4&lt;=$A35,NORM.S.INV((N$4-0.375)/($A35+0.25)),"")</f>
        <v/>
      </c>
      <c r="O35" s="17">
        <f>IF(O$4&lt;=$A35,NORM.S.INV((O$4-0.375)/($A35+0.25)),"")</f>
        <v/>
      </c>
      <c r="P35" s="17">
        <f>IF(P$4&lt;=$A35,NORM.S.INV((P$4-0.375)/($A35+0.25)),"")</f>
        <v/>
      </c>
      <c r="Q35" s="17">
        <f>IF(Q$4&lt;=$A35,NORM.S.INV((Q$4-0.375)/($A35+0.25)),"")</f>
        <v/>
      </c>
      <c r="R35" s="17">
        <f>IF(R$4&lt;=$A35,NORM.S.INV((R$4-0.375)/($A35+0.25)),"")</f>
        <v/>
      </c>
      <c r="S35" s="17">
        <f>IF(S$4&lt;=$A35,NORM.S.INV((S$4-0.375)/($A35+0.25)),"")</f>
        <v/>
      </c>
      <c r="T35" s="17">
        <f>IF(T$4&lt;=$A35,NORM.S.INV((T$4-0.375)/($A35+0.25)),"")</f>
        <v/>
      </c>
      <c r="U35" s="17">
        <f>IF(U$4&lt;=$A35,NORM.S.INV((U$4-0.375)/($A35+0.25)),"")</f>
        <v/>
      </c>
      <c r="V35" s="17">
        <f>IF(V$4&lt;=$A35,NORM.S.INV((V$4-0.375)/($A35+0.25)),"")</f>
        <v/>
      </c>
      <c r="W35" s="17">
        <f>IF(W$4&lt;=$A35,NORM.S.INV((W$4-0.375)/($A35+0.25)),"")</f>
        <v/>
      </c>
      <c r="X35" s="17">
        <f>IF(X$4&lt;=$A35,NORM.S.INV((X$4-0.375)/($A35+0.25)),"")</f>
        <v/>
      </c>
      <c r="Y35" s="17">
        <f>IF(Y$4&lt;=$A35,NORM.S.INV((Y$4-0.375)/($A35+0.25)),"")</f>
        <v/>
      </c>
      <c r="Z35" s="17">
        <f>IF(Z$4&lt;=$A35,NORM.S.INV((Z$4-0.375)/($A35+0.25)),"")</f>
        <v/>
      </c>
      <c r="AA35" s="17">
        <f>IF(AA$4&lt;=$A35,NORM.S.INV((AA$4-0.375)/($A35+0.25)),"")</f>
        <v/>
      </c>
      <c r="AB35" s="17">
        <f>IF(AB$4&lt;=$A35,NORM.S.INV((AB$4-0.375)/($A35+0.25)),"")</f>
        <v/>
      </c>
      <c r="AC35" s="17">
        <f>IF(AC$4&lt;=$A35,NORM.S.INV((AC$4-0.375)/($A35+0.25)),"")</f>
        <v/>
      </c>
      <c r="AD35" s="17">
        <f>IF(AD$4&lt;=$A35,NORM.S.INV((AD$4-0.375)/($A35+0.25)),"")</f>
        <v/>
      </c>
      <c r="AE35" s="17">
        <f>IF(AE$4&lt;=$A35,NORM.S.INV((AE$4-0.375)/($A35+0.25)),"")</f>
        <v/>
      </c>
      <c r="AF35" s="17">
        <f>IF(AF$4&lt;=$A35,NORM.S.INV((AF$4-0.375)/($A35+0.25)),"")</f>
        <v/>
      </c>
      <c r="AG35" s="17">
        <f>IF(AG$4&lt;=$A35,NORM.S.INV((AG$4-0.375)/($A35+0.25)),"")</f>
        <v/>
      </c>
      <c r="AH35" s="17">
        <f>IF(AH$4&lt;=$A35,NORM.S.INV((AH$4-0.375)/($A35+0.25)),"")</f>
        <v/>
      </c>
      <c r="AI35" s="17">
        <f>IF(AI$4&lt;=$A35,NORM.S.INV((AI$4-0.375)/($A35+0.25)),"")</f>
        <v/>
      </c>
      <c r="AJ35" s="17">
        <f>IF(AJ$4&lt;=$A35,NORM.S.INV((AJ$4-0.375)/($A35+0.25)),"")</f>
        <v/>
      </c>
      <c r="AK35" s="17">
        <f>IF(AK$4&lt;=$A35,NORM.S.INV((AK$4-0.375)/($A35+0.25)),"")</f>
        <v/>
      </c>
      <c r="AL35" s="17">
        <f>IF(AL$4&lt;=$A35,NORM.S.INV((AL$4-0.375)/($A35+0.25)),"")</f>
        <v/>
      </c>
      <c r="AM35" s="17">
        <f>IF(AM$4&lt;=$A35,NORM.S.INV((AM$4-0.375)/($A35+0.25)),"")</f>
        <v/>
      </c>
      <c r="AN35" s="17">
        <f>IF(AN$4&lt;=$A35,NORM.S.INV((AN$4-0.375)/($A35+0.25)),"")</f>
        <v/>
      </c>
      <c r="AO35" s="17">
        <f>IF(AO$4&lt;=$A35,NORM.S.INV((AO$4-0.375)/($A35+0.25)),"")</f>
        <v/>
      </c>
      <c r="AP35" s="18">
        <f>STDEVP($B35:$AO35)</f>
        <v/>
      </c>
      <c r="AQ35" s="17">
        <f>AP35</f>
        <v/>
      </c>
      <c r="AR35" s="19" t="inlineStr">
        <is>
          <t>—</t>
        </is>
      </c>
      <c r="AS35" s="20" t="inlineStr">
        <is>
          <t>참고값 없음 (s=1 적용)</t>
        </is>
      </c>
    </row>
    <row r="36">
      <c r="A36" s="16" t="n">
        <v>33</v>
      </c>
      <c r="B36" s="17">
        <f>IF(B$4&lt;=$A36,NORM.S.INV((B$4-0.375)/($A36+0.25)),"")</f>
        <v/>
      </c>
      <c r="C36" s="17">
        <f>IF(C$4&lt;=$A36,NORM.S.INV((C$4-0.375)/($A36+0.25)),"")</f>
        <v/>
      </c>
      <c r="D36" s="17">
        <f>IF(D$4&lt;=$A36,NORM.S.INV((D$4-0.375)/($A36+0.25)),"")</f>
        <v/>
      </c>
      <c r="E36" s="17">
        <f>IF(E$4&lt;=$A36,NORM.S.INV((E$4-0.375)/($A36+0.25)),"")</f>
        <v/>
      </c>
      <c r="F36" s="17">
        <f>IF(F$4&lt;=$A36,NORM.S.INV((F$4-0.375)/($A36+0.25)),"")</f>
        <v/>
      </c>
      <c r="G36" s="17">
        <f>IF(G$4&lt;=$A36,NORM.S.INV((G$4-0.375)/($A36+0.25)),"")</f>
        <v/>
      </c>
      <c r="H36" s="17">
        <f>IF(H$4&lt;=$A36,NORM.S.INV((H$4-0.375)/($A36+0.25)),"")</f>
        <v/>
      </c>
      <c r="I36" s="17">
        <f>IF(I$4&lt;=$A36,NORM.S.INV((I$4-0.375)/($A36+0.25)),"")</f>
        <v/>
      </c>
      <c r="J36" s="17">
        <f>IF(J$4&lt;=$A36,NORM.S.INV((J$4-0.375)/($A36+0.25)),"")</f>
        <v/>
      </c>
      <c r="K36" s="17">
        <f>IF(K$4&lt;=$A36,NORM.S.INV((K$4-0.375)/($A36+0.25)),"")</f>
        <v/>
      </c>
      <c r="L36" s="17">
        <f>IF(L$4&lt;=$A36,NORM.S.INV((L$4-0.375)/($A36+0.25)),"")</f>
        <v/>
      </c>
      <c r="M36" s="17">
        <f>IF(M$4&lt;=$A36,NORM.S.INV((M$4-0.375)/($A36+0.25)),"")</f>
        <v/>
      </c>
      <c r="N36" s="17">
        <f>IF(N$4&lt;=$A36,NORM.S.INV((N$4-0.375)/($A36+0.25)),"")</f>
        <v/>
      </c>
      <c r="O36" s="17">
        <f>IF(O$4&lt;=$A36,NORM.S.INV((O$4-0.375)/($A36+0.25)),"")</f>
        <v/>
      </c>
      <c r="P36" s="17">
        <f>IF(P$4&lt;=$A36,NORM.S.INV((P$4-0.375)/($A36+0.25)),"")</f>
        <v/>
      </c>
      <c r="Q36" s="17">
        <f>IF(Q$4&lt;=$A36,NORM.S.INV((Q$4-0.375)/($A36+0.25)),"")</f>
        <v/>
      </c>
      <c r="R36" s="17">
        <f>IF(R$4&lt;=$A36,NORM.S.INV((R$4-0.375)/($A36+0.25)),"")</f>
        <v/>
      </c>
      <c r="S36" s="17">
        <f>IF(S$4&lt;=$A36,NORM.S.INV((S$4-0.375)/($A36+0.25)),"")</f>
        <v/>
      </c>
      <c r="T36" s="17">
        <f>IF(T$4&lt;=$A36,NORM.S.INV((T$4-0.375)/($A36+0.25)),"")</f>
        <v/>
      </c>
      <c r="U36" s="17">
        <f>IF(U$4&lt;=$A36,NORM.S.INV((U$4-0.375)/($A36+0.25)),"")</f>
        <v/>
      </c>
      <c r="V36" s="17">
        <f>IF(V$4&lt;=$A36,NORM.S.INV((V$4-0.375)/($A36+0.25)),"")</f>
        <v/>
      </c>
      <c r="W36" s="17">
        <f>IF(W$4&lt;=$A36,NORM.S.INV((W$4-0.375)/($A36+0.25)),"")</f>
        <v/>
      </c>
      <c r="X36" s="17">
        <f>IF(X$4&lt;=$A36,NORM.S.INV((X$4-0.375)/($A36+0.25)),"")</f>
        <v/>
      </c>
      <c r="Y36" s="17">
        <f>IF(Y$4&lt;=$A36,NORM.S.INV((Y$4-0.375)/($A36+0.25)),"")</f>
        <v/>
      </c>
      <c r="Z36" s="17">
        <f>IF(Z$4&lt;=$A36,NORM.S.INV((Z$4-0.375)/($A36+0.25)),"")</f>
        <v/>
      </c>
      <c r="AA36" s="17">
        <f>IF(AA$4&lt;=$A36,NORM.S.INV((AA$4-0.375)/($A36+0.25)),"")</f>
        <v/>
      </c>
      <c r="AB36" s="17">
        <f>IF(AB$4&lt;=$A36,NORM.S.INV((AB$4-0.375)/($A36+0.25)),"")</f>
        <v/>
      </c>
      <c r="AC36" s="17">
        <f>IF(AC$4&lt;=$A36,NORM.S.INV((AC$4-0.375)/($A36+0.25)),"")</f>
        <v/>
      </c>
      <c r="AD36" s="17">
        <f>IF(AD$4&lt;=$A36,NORM.S.INV((AD$4-0.375)/($A36+0.25)),"")</f>
        <v/>
      </c>
      <c r="AE36" s="17">
        <f>IF(AE$4&lt;=$A36,NORM.S.INV((AE$4-0.375)/($A36+0.25)),"")</f>
        <v/>
      </c>
      <c r="AF36" s="17">
        <f>IF(AF$4&lt;=$A36,NORM.S.INV((AF$4-0.375)/($A36+0.25)),"")</f>
        <v/>
      </c>
      <c r="AG36" s="17">
        <f>IF(AG$4&lt;=$A36,NORM.S.INV((AG$4-0.375)/($A36+0.25)),"")</f>
        <v/>
      </c>
      <c r="AH36" s="17">
        <f>IF(AH$4&lt;=$A36,NORM.S.INV((AH$4-0.375)/($A36+0.25)),"")</f>
        <v/>
      </c>
      <c r="AI36" s="17">
        <f>IF(AI$4&lt;=$A36,NORM.S.INV((AI$4-0.375)/($A36+0.25)),"")</f>
        <v/>
      </c>
      <c r="AJ36" s="17">
        <f>IF(AJ$4&lt;=$A36,NORM.S.INV((AJ$4-0.375)/($A36+0.25)),"")</f>
        <v/>
      </c>
      <c r="AK36" s="17">
        <f>IF(AK$4&lt;=$A36,NORM.S.INV((AK$4-0.375)/($A36+0.25)),"")</f>
        <v/>
      </c>
      <c r="AL36" s="17">
        <f>IF(AL$4&lt;=$A36,NORM.S.INV((AL$4-0.375)/($A36+0.25)),"")</f>
        <v/>
      </c>
      <c r="AM36" s="17">
        <f>IF(AM$4&lt;=$A36,NORM.S.INV((AM$4-0.375)/($A36+0.25)),"")</f>
        <v/>
      </c>
      <c r="AN36" s="17">
        <f>IF(AN$4&lt;=$A36,NORM.S.INV((AN$4-0.375)/($A36+0.25)),"")</f>
        <v/>
      </c>
      <c r="AO36" s="17">
        <f>IF(AO$4&lt;=$A36,NORM.S.INV((AO$4-0.375)/($A36+0.25)),"")</f>
        <v/>
      </c>
      <c r="AP36" s="18">
        <f>STDEVP($B36:$AO36)</f>
        <v/>
      </c>
      <c r="AQ36" s="17">
        <f>AP36</f>
        <v/>
      </c>
      <c r="AR36" s="19" t="inlineStr">
        <is>
          <t>—</t>
        </is>
      </c>
      <c r="AS36" s="20" t="inlineStr">
        <is>
          <t>참고값 없음 (s=1 적용)</t>
        </is>
      </c>
    </row>
    <row r="37">
      <c r="A37" s="16" t="n">
        <v>34</v>
      </c>
      <c r="B37" s="17">
        <f>IF(B$4&lt;=$A37,NORM.S.INV((B$4-0.375)/($A37+0.25)),"")</f>
        <v/>
      </c>
      <c r="C37" s="17">
        <f>IF(C$4&lt;=$A37,NORM.S.INV((C$4-0.375)/($A37+0.25)),"")</f>
        <v/>
      </c>
      <c r="D37" s="17">
        <f>IF(D$4&lt;=$A37,NORM.S.INV((D$4-0.375)/($A37+0.25)),"")</f>
        <v/>
      </c>
      <c r="E37" s="17">
        <f>IF(E$4&lt;=$A37,NORM.S.INV((E$4-0.375)/($A37+0.25)),"")</f>
        <v/>
      </c>
      <c r="F37" s="17">
        <f>IF(F$4&lt;=$A37,NORM.S.INV((F$4-0.375)/($A37+0.25)),"")</f>
        <v/>
      </c>
      <c r="G37" s="17">
        <f>IF(G$4&lt;=$A37,NORM.S.INV((G$4-0.375)/($A37+0.25)),"")</f>
        <v/>
      </c>
      <c r="H37" s="17">
        <f>IF(H$4&lt;=$A37,NORM.S.INV((H$4-0.375)/($A37+0.25)),"")</f>
        <v/>
      </c>
      <c r="I37" s="17">
        <f>IF(I$4&lt;=$A37,NORM.S.INV((I$4-0.375)/($A37+0.25)),"")</f>
        <v/>
      </c>
      <c r="J37" s="17">
        <f>IF(J$4&lt;=$A37,NORM.S.INV((J$4-0.375)/($A37+0.25)),"")</f>
        <v/>
      </c>
      <c r="K37" s="17">
        <f>IF(K$4&lt;=$A37,NORM.S.INV((K$4-0.375)/($A37+0.25)),"")</f>
        <v/>
      </c>
      <c r="L37" s="17">
        <f>IF(L$4&lt;=$A37,NORM.S.INV((L$4-0.375)/($A37+0.25)),"")</f>
        <v/>
      </c>
      <c r="M37" s="17">
        <f>IF(M$4&lt;=$A37,NORM.S.INV((M$4-0.375)/($A37+0.25)),"")</f>
        <v/>
      </c>
      <c r="N37" s="17">
        <f>IF(N$4&lt;=$A37,NORM.S.INV((N$4-0.375)/($A37+0.25)),"")</f>
        <v/>
      </c>
      <c r="O37" s="17">
        <f>IF(O$4&lt;=$A37,NORM.S.INV((O$4-0.375)/($A37+0.25)),"")</f>
        <v/>
      </c>
      <c r="P37" s="17">
        <f>IF(P$4&lt;=$A37,NORM.S.INV((P$4-0.375)/($A37+0.25)),"")</f>
        <v/>
      </c>
      <c r="Q37" s="17">
        <f>IF(Q$4&lt;=$A37,NORM.S.INV((Q$4-0.375)/($A37+0.25)),"")</f>
        <v/>
      </c>
      <c r="R37" s="17">
        <f>IF(R$4&lt;=$A37,NORM.S.INV((R$4-0.375)/($A37+0.25)),"")</f>
        <v/>
      </c>
      <c r="S37" s="17">
        <f>IF(S$4&lt;=$A37,NORM.S.INV((S$4-0.375)/($A37+0.25)),"")</f>
        <v/>
      </c>
      <c r="T37" s="17">
        <f>IF(T$4&lt;=$A37,NORM.S.INV((T$4-0.375)/($A37+0.25)),"")</f>
        <v/>
      </c>
      <c r="U37" s="17">
        <f>IF(U$4&lt;=$A37,NORM.S.INV((U$4-0.375)/($A37+0.25)),"")</f>
        <v/>
      </c>
      <c r="V37" s="17">
        <f>IF(V$4&lt;=$A37,NORM.S.INV((V$4-0.375)/($A37+0.25)),"")</f>
        <v/>
      </c>
      <c r="W37" s="17">
        <f>IF(W$4&lt;=$A37,NORM.S.INV((W$4-0.375)/($A37+0.25)),"")</f>
        <v/>
      </c>
      <c r="X37" s="17">
        <f>IF(X$4&lt;=$A37,NORM.S.INV((X$4-0.375)/($A37+0.25)),"")</f>
        <v/>
      </c>
      <c r="Y37" s="17">
        <f>IF(Y$4&lt;=$A37,NORM.S.INV((Y$4-0.375)/($A37+0.25)),"")</f>
        <v/>
      </c>
      <c r="Z37" s="17">
        <f>IF(Z$4&lt;=$A37,NORM.S.INV((Z$4-0.375)/($A37+0.25)),"")</f>
        <v/>
      </c>
      <c r="AA37" s="17">
        <f>IF(AA$4&lt;=$A37,NORM.S.INV((AA$4-0.375)/($A37+0.25)),"")</f>
        <v/>
      </c>
      <c r="AB37" s="17">
        <f>IF(AB$4&lt;=$A37,NORM.S.INV((AB$4-0.375)/($A37+0.25)),"")</f>
        <v/>
      </c>
      <c r="AC37" s="17">
        <f>IF(AC$4&lt;=$A37,NORM.S.INV((AC$4-0.375)/($A37+0.25)),"")</f>
        <v/>
      </c>
      <c r="AD37" s="17">
        <f>IF(AD$4&lt;=$A37,NORM.S.INV((AD$4-0.375)/($A37+0.25)),"")</f>
        <v/>
      </c>
      <c r="AE37" s="17">
        <f>IF(AE$4&lt;=$A37,NORM.S.INV((AE$4-0.375)/($A37+0.25)),"")</f>
        <v/>
      </c>
      <c r="AF37" s="17">
        <f>IF(AF$4&lt;=$A37,NORM.S.INV((AF$4-0.375)/($A37+0.25)),"")</f>
        <v/>
      </c>
      <c r="AG37" s="17">
        <f>IF(AG$4&lt;=$A37,NORM.S.INV((AG$4-0.375)/($A37+0.25)),"")</f>
        <v/>
      </c>
      <c r="AH37" s="17">
        <f>IF(AH$4&lt;=$A37,NORM.S.INV((AH$4-0.375)/($A37+0.25)),"")</f>
        <v/>
      </c>
      <c r="AI37" s="17">
        <f>IF(AI$4&lt;=$A37,NORM.S.INV((AI$4-0.375)/($A37+0.25)),"")</f>
        <v/>
      </c>
      <c r="AJ37" s="17">
        <f>IF(AJ$4&lt;=$A37,NORM.S.INV((AJ$4-0.375)/($A37+0.25)),"")</f>
        <v/>
      </c>
      <c r="AK37" s="17">
        <f>IF(AK$4&lt;=$A37,NORM.S.INV((AK$4-0.375)/($A37+0.25)),"")</f>
        <v/>
      </c>
      <c r="AL37" s="17">
        <f>IF(AL$4&lt;=$A37,NORM.S.INV((AL$4-0.375)/($A37+0.25)),"")</f>
        <v/>
      </c>
      <c r="AM37" s="17">
        <f>IF(AM$4&lt;=$A37,NORM.S.INV((AM$4-0.375)/($A37+0.25)),"")</f>
        <v/>
      </c>
      <c r="AN37" s="17">
        <f>IF(AN$4&lt;=$A37,NORM.S.INV((AN$4-0.375)/($A37+0.25)),"")</f>
        <v/>
      </c>
      <c r="AO37" s="17">
        <f>IF(AO$4&lt;=$A37,NORM.S.INV((AO$4-0.375)/($A37+0.25)),"")</f>
        <v/>
      </c>
      <c r="AP37" s="18">
        <f>STDEVP($B37:$AO37)</f>
        <v/>
      </c>
      <c r="AQ37" s="17">
        <f>AP37</f>
        <v/>
      </c>
      <c r="AR37" s="19" t="inlineStr">
        <is>
          <t>—</t>
        </is>
      </c>
      <c r="AS37" s="20" t="inlineStr">
        <is>
          <t>참고값 없음 (s=1 적용)</t>
        </is>
      </c>
    </row>
    <row r="38">
      <c r="A38" s="16" t="n">
        <v>35</v>
      </c>
      <c r="B38" s="17">
        <f>IF(B$4&lt;=$A38,NORM.S.INV((B$4-0.375)/($A38+0.25)),"")</f>
        <v/>
      </c>
      <c r="C38" s="17">
        <f>IF(C$4&lt;=$A38,NORM.S.INV((C$4-0.375)/($A38+0.25)),"")</f>
        <v/>
      </c>
      <c r="D38" s="17">
        <f>IF(D$4&lt;=$A38,NORM.S.INV((D$4-0.375)/($A38+0.25)),"")</f>
        <v/>
      </c>
      <c r="E38" s="17">
        <f>IF(E$4&lt;=$A38,NORM.S.INV((E$4-0.375)/($A38+0.25)),"")</f>
        <v/>
      </c>
      <c r="F38" s="17">
        <f>IF(F$4&lt;=$A38,NORM.S.INV((F$4-0.375)/($A38+0.25)),"")</f>
        <v/>
      </c>
      <c r="G38" s="17">
        <f>IF(G$4&lt;=$A38,NORM.S.INV((G$4-0.375)/($A38+0.25)),"")</f>
        <v/>
      </c>
      <c r="H38" s="17">
        <f>IF(H$4&lt;=$A38,NORM.S.INV((H$4-0.375)/($A38+0.25)),"")</f>
        <v/>
      </c>
      <c r="I38" s="17">
        <f>IF(I$4&lt;=$A38,NORM.S.INV((I$4-0.375)/($A38+0.25)),"")</f>
        <v/>
      </c>
      <c r="J38" s="17">
        <f>IF(J$4&lt;=$A38,NORM.S.INV((J$4-0.375)/($A38+0.25)),"")</f>
        <v/>
      </c>
      <c r="K38" s="17">
        <f>IF(K$4&lt;=$A38,NORM.S.INV((K$4-0.375)/($A38+0.25)),"")</f>
        <v/>
      </c>
      <c r="L38" s="17">
        <f>IF(L$4&lt;=$A38,NORM.S.INV((L$4-0.375)/($A38+0.25)),"")</f>
        <v/>
      </c>
      <c r="M38" s="17">
        <f>IF(M$4&lt;=$A38,NORM.S.INV((M$4-0.375)/($A38+0.25)),"")</f>
        <v/>
      </c>
      <c r="N38" s="17">
        <f>IF(N$4&lt;=$A38,NORM.S.INV((N$4-0.375)/($A38+0.25)),"")</f>
        <v/>
      </c>
      <c r="O38" s="17">
        <f>IF(O$4&lt;=$A38,NORM.S.INV((O$4-0.375)/($A38+0.25)),"")</f>
        <v/>
      </c>
      <c r="P38" s="17">
        <f>IF(P$4&lt;=$A38,NORM.S.INV((P$4-0.375)/($A38+0.25)),"")</f>
        <v/>
      </c>
      <c r="Q38" s="17">
        <f>IF(Q$4&lt;=$A38,NORM.S.INV((Q$4-0.375)/($A38+0.25)),"")</f>
        <v/>
      </c>
      <c r="R38" s="17">
        <f>IF(R$4&lt;=$A38,NORM.S.INV((R$4-0.375)/($A38+0.25)),"")</f>
        <v/>
      </c>
      <c r="S38" s="17">
        <f>IF(S$4&lt;=$A38,NORM.S.INV((S$4-0.375)/($A38+0.25)),"")</f>
        <v/>
      </c>
      <c r="T38" s="17">
        <f>IF(T$4&lt;=$A38,NORM.S.INV((T$4-0.375)/($A38+0.25)),"")</f>
        <v/>
      </c>
      <c r="U38" s="17">
        <f>IF(U$4&lt;=$A38,NORM.S.INV((U$4-0.375)/($A38+0.25)),"")</f>
        <v/>
      </c>
      <c r="V38" s="17">
        <f>IF(V$4&lt;=$A38,NORM.S.INV((V$4-0.375)/($A38+0.25)),"")</f>
        <v/>
      </c>
      <c r="W38" s="17">
        <f>IF(W$4&lt;=$A38,NORM.S.INV((W$4-0.375)/($A38+0.25)),"")</f>
        <v/>
      </c>
      <c r="X38" s="17">
        <f>IF(X$4&lt;=$A38,NORM.S.INV((X$4-0.375)/($A38+0.25)),"")</f>
        <v/>
      </c>
      <c r="Y38" s="17">
        <f>IF(Y$4&lt;=$A38,NORM.S.INV((Y$4-0.375)/($A38+0.25)),"")</f>
        <v/>
      </c>
      <c r="Z38" s="17">
        <f>IF(Z$4&lt;=$A38,NORM.S.INV((Z$4-0.375)/($A38+0.25)),"")</f>
        <v/>
      </c>
      <c r="AA38" s="17">
        <f>IF(AA$4&lt;=$A38,NORM.S.INV((AA$4-0.375)/($A38+0.25)),"")</f>
        <v/>
      </c>
      <c r="AB38" s="17">
        <f>IF(AB$4&lt;=$A38,NORM.S.INV((AB$4-0.375)/($A38+0.25)),"")</f>
        <v/>
      </c>
      <c r="AC38" s="17">
        <f>IF(AC$4&lt;=$A38,NORM.S.INV((AC$4-0.375)/($A38+0.25)),"")</f>
        <v/>
      </c>
      <c r="AD38" s="17">
        <f>IF(AD$4&lt;=$A38,NORM.S.INV((AD$4-0.375)/($A38+0.25)),"")</f>
        <v/>
      </c>
      <c r="AE38" s="17">
        <f>IF(AE$4&lt;=$A38,NORM.S.INV((AE$4-0.375)/($A38+0.25)),"")</f>
        <v/>
      </c>
      <c r="AF38" s="17">
        <f>IF(AF$4&lt;=$A38,NORM.S.INV((AF$4-0.375)/($A38+0.25)),"")</f>
        <v/>
      </c>
      <c r="AG38" s="17">
        <f>IF(AG$4&lt;=$A38,NORM.S.INV((AG$4-0.375)/($A38+0.25)),"")</f>
        <v/>
      </c>
      <c r="AH38" s="17">
        <f>IF(AH$4&lt;=$A38,NORM.S.INV((AH$4-0.375)/($A38+0.25)),"")</f>
        <v/>
      </c>
      <c r="AI38" s="17">
        <f>IF(AI$4&lt;=$A38,NORM.S.INV((AI$4-0.375)/($A38+0.25)),"")</f>
        <v/>
      </c>
      <c r="AJ38" s="17">
        <f>IF(AJ$4&lt;=$A38,NORM.S.INV((AJ$4-0.375)/($A38+0.25)),"")</f>
        <v/>
      </c>
      <c r="AK38" s="17">
        <f>IF(AK$4&lt;=$A38,NORM.S.INV((AK$4-0.375)/($A38+0.25)),"")</f>
        <v/>
      </c>
      <c r="AL38" s="17">
        <f>IF(AL$4&lt;=$A38,NORM.S.INV((AL$4-0.375)/($A38+0.25)),"")</f>
        <v/>
      </c>
      <c r="AM38" s="17">
        <f>IF(AM$4&lt;=$A38,NORM.S.INV((AM$4-0.375)/($A38+0.25)),"")</f>
        <v/>
      </c>
      <c r="AN38" s="17">
        <f>IF(AN$4&lt;=$A38,NORM.S.INV((AN$4-0.375)/($A38+0.25)),"")</f>
        <v/>
      </c>
      <c r="AO38" s="17">
        <f>IF(AO$4&lt;=$A38,NORM.S.INV((AO$4-0.375)/($A38+0.25)),"")</f>
        <v/>
      </c>
      <c r="AP38" s="18">
        <f>STDEVP($B38:$AO38)</f>
        <v/>
      </c>
      <c r="AQ38" s="17">
        <f>AP38</f>
        <v/>
      </c>
      <c r="AR38" s="19" t="inlineStr">
        <is>
          <t>—</t>
        </is>
      </c>
      <c r="AS38" s="20" t="inlineStr">
        <is>
          <t>참고값 없음 (s=1 적용)</t>
        </is>
      </c>
    </row>
    <row r="39">
      <c r="A39" s="16" t="n">
        <v>36</v>
      </c>
      <c r="B39" s="17">
        <f>IF(B$4&lt;=$A39,NORM.S.INV((B$4-0.375)/($A39+0.25)),"")</f>
        <v/>
      </c>
      <c r="C39" s="17">
        <f>IF(C$4&lt;=$A39,NORM.S.INV((C$4-0.375)/($A39+0.25)),"")</f>
        <v/>
      </c>
      <c r="D39" s="17">
        <f>IF(D$4&lt;=$A39,NORM.S.INV((D$4-0.375)/($A39+0.25)),"")</f>
        <v/>
      </c>
      <c r="E39" s="17">
        <f>IF(E$4&lt;=$A39,NORM.S.INV((E$4-0.375)/($A39+0.25)),"")</f>
        <v/>
      </c>
      <c r="F39" s="17">
        <f>IF(F$4&lt;=$A39,NORM.S.INV((F$4-0.375)/($A39+0.25)),"")</f>
        <v/>
      </c>
      <c r="G39" s="17">
        <f>IF(G$4&lt;=$A39,NORM.S.INV((G$4-0.375)/($A39+0.25)),"")</f>
        <v/>
      </c>
      <c r="H39" s="17">
        <f>IF(H$4&lt;=$A39,NORM.S.INV((H$4-0.375)/($A39+0.25)),"")</f>
        <v/>
      </c>
      <c r="I39" s="17">
        <f>IF(I$4&lt;=$A39,NORM.S.INV((I$4-0.375)/($A39+0.25)),"")</f>
        <v/>
      </c>
      <c r="J39" s="17">
        <f>IF(J$4&lt;=$A39,NORM.S.INV((J$4-0.375)/($A39+0.25)),"")</f>
        <v/>
      </c>
      <c r="K39" s="17">
        <f>IF(K$4&lt;=$A39,NORM.S.INV((K$4-0.375)/($A39+0.25)),"")</f>
        <v/>
      </c>
      <c r="L39" s="17">
        <f>IF(L$4&lt;=$A39,NORM.S.INV((L$4-0.375)/($A39+0.25)),"")</f>
        <v/>
      </c>
      <c r="M39" s="17">
        <f>IF(M$4&lt;=$A39,NORM.S.INV((M$4-0.375)/($A39+0.25)),"")</f>
        <v/>
      </c>
      <c r="N39" s="17">
        <f>IF(N$4&lt;=$A39,NORM.S.INV((N$4-0.375)/($A39+0.25)),"")</f>
        <v/>
      </c>
      <c r="O39" s="17">
        <f>IF(O$4&lt;=$A39,NORM.S.INV((O$4-0.375)/($A39+0.25)),"")</f>
        <v/>
      </c>
      <c r="P39" s="17">
        <f>IF(P$4&lt;=$A39,NORM.S.INV((P$4-0.375)/($A39+0.25)),"")</f>
        <v/>
      </c>
      <c r="Q39" s="17">
        <f>IF(Q$4&lt;=$A39,NORM.S.INV((Q$4-0.375)/($A39+0.25)),"")</f>
        <v/>
      </c>
      <c r="R39" s="17">
        <f>IF(R$4&lt;=$A39,NORM.S.INV((R$4-0.375)/($A39+0.25)),"")</f>
        <v/>
      </c>
      <c r="S39" s="17">
        <f>IF(S$4&lt;=$A39,NORM.S.INV((S$4-0.375)/($A39+0.25)),"")</f>
        <v/>
      </c>
      <c r="T39" s="17">
        <f>IF(T$4&lt;=$A39,NORM.S.INV((T$4-0.375)/($A39+0.25)),"")</f>
        <v/>
      </c>
      <c r="U39" s="17">
        <f>IF(U$4&lt;=$A39,NORM.S.INV((U$4-0.375)/($A39+0.25)),"")</f>
        <v/>
      </c>
      <c r="V39" s="17">
        <f>IF(V$4&lt;=$A39,NORM.S.INV((V$4-0.375)/($A39+0.25)),"")</f>
        <v/>
      </c>
      <c r="W39" s="17">
        <f>IF(W$4&lt;=$A39,NORM.S.INV((W$4-0.375)/($A39+0.25)),"")</f>
        <v/>
      </c>
      <c r="X39" s="17">
        <f>IF(X$4&lt;=$A39,NORM.S.INV((X$4-0.375)/($A39+0.25)),"")</f>
        <v/>
      </c>
      <c r="Y39" s="17">
        <f>IF(Y$4&lt;=$A39,NORM.S.INV((Y$4-0.375)/($A39+0.25)),"")</f>
        <v/>
      </c>
      <c r="Z39" s="17">
        <f>IF(Z$4&lt;=$A39,NORM.S.INV((Z$4-0.375)/($A39+0.25)),"")</f>
        <v/>
      </c>
      <c r="AA39" s="17">
        <f>IF(AA$4&lt;=$A39,NORM.S.INV((AA$4-0.375)/($A39+0.25)),"")</f>
        <v/>
      </c>
      <c r="AB39" s="17">
        <f>IF(AB$4&lt;=$A39,NORM.S.INV((AB$4-0.375)/($A39+0.25)),"")</f>
        <v/>
      </c>
      <c r="AC39" s="17">
        <f>IF(AC$4&lt;=$A39,NORM.S.INV((AC$4-0.375)/($A39+0.25)),"")</f>
        <v/>
      </c>
      <c r="AD39" s="17">
        <f>IF(AD$4&lt;=$A39,NORM.S.INV((AD$4-0.375)/($A39+0.25)),"")</f>
        <v/>
      </c>
      <c r="AE39" s="17">
        <f>IF(AE$4&lt;=$A39,NORM.S.INV((AE$4-0.375)/($A39+0.25)),"")</f>
        <v/>
      </c>
      <c r="AF39" s="17">
        <f>IF(AF$4&lt;=$A39,NORM.S.INV((AF$4-0.375)/($A39+0.25)),"")</f>
        <v/>
      </c>
      <c r="AG39" s="17">
        <f>IF(AG$4&lt;=$A39,NORM.S.INV((AG$4-0.375)/($A39+0.25)),"")</f>
        <v/>
      </c>
      <c r="AH39" s="17">
        <f>IF(AH$4&lt;=$A39,NORM.S.INV((AH$4-0.375)/($A39+0.25)),"")</f>
        <v/>
      </c>
      <c r="AI39" s="17">
        <f>IF(AI$4&lt;=$A39,NORM.S.INV((AI$4-0.375)/($A39+0.25)),"")</f>
        <v/>
      </c>
      <c r="AJ39" s="17">
        <f>IF(AJ$4&lt;=$A39,NORM.S.INV((AJ$4-0.375)/($A39+0.25)),"")</f>
        <v/>
      </c>
      <c r="AK39" s="17">
        <f>IF(AK$4&lt;=$A39,NORM.S.INV((AK$4-0.375)/($A39+0.25)),"")</f>
        <v/>
      </c>
      <c r="AL39" s="17">
        <f>IF(AL$4&lt;=$A39,NORM.S.INV((AL$4-0.375)/($A39+0.25)),"")</f>
        <v/>
      </c>
      <c r="AM39" s="17">
        <f>IF(AM$4&lt;=$A39,NORM.S.INV((AM$4-0.375)/($A39+0.25)),"")</f>
        <v/>
      </c>
      <c r="AN39" s="17">
        <f>IF(AN$4&lt;=$A39,NORM.S.INV((AN$4-0.375)/($A39+0.25)),"")</f>
        <v/>
      </c>
      <c r="AO39" s="17">
        <f>IF(AO$4&lt;=$A39,NORM.S.INV((AO$4-0.375)/($A39+0.25)),"")</f>
        <v/>
      </c>
      <c r="AP39" s="18">
        <f>STDEVP($B39:$AO39)</f>
        <v/>
      </c>
      <c r="AQ39" s="17">
        <f>AP39</f>
        <v/>
      </c>
      <c r="AR39" s="19" t="inlineStr">
        <is>
          <t>—</t>
        </is>
      </c>
      <c r="AS39" s="20" t="inlineStr">
        <is>
          <t>참고값 없음 (s=1 적용)</t>
        </is>
      </c>
    </row>
    <row r="40">
      <c r="A40" s="16" t="n">
        <v>37</v>
      </c>
      <c r="B40" s="17">
        <f>IF(B$4&lt;=$A40,NORM.S.INV((B$4-0.375)/($A40+0.25)),"")</f>
        <v/>
      </c>
      <c r="C40" s="17">
        <f>IF(C$4&lt;=$A40,NORM.S.INV((C$4-0.375)/($A40+0.25)),"")</f>
        <v/>
      </c>
      <c r="D40" s="17">
        <f>IF(D$4&lt;=$A40,NORM.S.INV((D$4-0.375)/($A40+0.25)),"")</f>
        <v/>
      </c>
      <c r="E40" s="17">
        <f>IF(E$4&lt;=$A40,NORM.S.INV((E$4-0.375)/($A40+0.25)),"")</f>
        <v/>
      </c>
      <c r="F40" s="17">
        <f>IF(F$4&lt;=$A40,NORM.S.INV((F$4-0.375)/($A40+0.25)),"")</f>
        <v/>
      </c>
      <c r="G40" s="17">
        <f>IF(G$4&lt;=$A40,NORM.S.INV((G$4-0.375)/($A40+0.25)),"")</f>
        <v/>
      </c>
      <c r="H40" s="17">
        <f>IF(H$4&lt;=$A40,NORM.S.INV((H$4-0.375)/($A40+0.25)),"")</f>
        <v/>
      </c>
      <c r="I40" s="17">
        <f>IF(I$4&lt;=$A40,NORM.S.INV((I$4-0.375)/($A40+0.25)),"")</f>
        <v/>
      </c>
      <c r="J40" s="17">
        <f>IF(J$4&lt;=$A40,NORM.S.INV((J$4-0.375)/($A40+0.25)),"")</f>
        <v/>
      </c>
      <c r="K40" s="17">
        <f>IF(K$4&lt;=$A40,NORM.S.INV((K$4-0.375)/($A40+0.25)),"")</f>
        <v/>
      </c>
      <c r="L40" s="17">
        <f>IF(L$4&lt;=$A40,NORM.S.INV((L$4-0.375)/($A40+0.25)),"")</f>
        <v/>
      </c>
      <c r="M40" s="17">
        <f>IF(M$4&lt;=$A40,NORM.S.INV((M$4-0.375)/($A40+0.25)),"")</f>
        <v/>
      </c>
      <c r="N40" s="17">
        <f>IF(N$4&lt;=$A40,NORM.S.INV((N$4-0.375)/($A40+0.25)),"")</f>
        <v/>
      </c>
      <c r="O40" s="17">
        <f>IF(O$4&lt;=$A40,NORM.S.INV((O$4-0.375)/($A40+0.25)),"")</f>
        <v/>
      </c>
      <c r="P40" s="17">
        <f>IF(P$4&lt;=$A40,NORM.S.INV((P$4-0.375)/($A40+0.25)),"")</f>
        <v/>
      </c>
      <c r="Q40" s="17">
        <f>IF(Q$4&lt;=$A40,NORM.S.INV((Q$4-0.375)/($A40+0.25)),"")</f>
        <v/>
      </c>
      <c r="R40" s="17">
        <f>IF(R$4&lt;=$A40,NORM.S.INV((R$4-0.375)/($A40+0.25)),"")</f>
        <v/>
      </c>
      <c r="S40" s="17">
        <f>IF(S$4&lt;=$A40,NORM.S.INV((S$4-0.375)/($A40+0.25)),"")</f>
        <v/>
      </c>
      <c r="T40" s="17">
        <f>IF(T$4&lt;=$A40,NORM.S.INV((T$4-0.375)/($A40+0.25)),"")</f>
        <v/>
      </c>
      <c r="U40" s="17">
        <f>IF(U$4&lt;=$A40,NORM.S.INV((U$4-0.375)/($A40+0.25)),"")</f>
        <v/>
      </c>
      <c r="V40" s="17">
        <f>IF(V$4&lt;=$A40,NORM.S.INV((V$4-0.375)/($A40+0.25)),"")</f>
        <v/>
      </c>
      <c r="W40" s="17">
        <f>IF(W$4&lt;=$A40,NORM.S.INV((W$4-0.375)/($A40+0.25)),"")</f>
        <v/>
      </c>
      <c r="X40" s="17">
        <f>IF(X$4&lt;=$A40,NORM.S.INV((X$4-0.375)/($A40+0.25)),"")</f>
        <v/>
      </c>
      <c r="Y40" s="17">
        <f>IF(Y$4&lt;=$A40,NORM.S.INV((Y$4-0.375)/($A40+0.25)),"")</f>
        <v/>
      </c>
      <c r="Z40" s="17">
        <f>IF(Z$4&lt;=$A40,NORM.S.INV((Z$4-0.375)/($A40+0.25)),"")</f>
        <v/>
      </c>
      <c r="AA40" s="17">
        <f>IF(AA$4&lt;=$A40,NORM.S.INV((AA$4-0.375)/($A40+0.25)),"")</f>
        <v/>
      </c>
      <c r="AB40" s="17">
        <f>IF(AB$4&lt;=$A40,NORM.S.INV((AB$4-0.375)/($A40+0.25)),"")</f>
        <v/>
      </c>
      <c r="AC40" s="17">
        <f>IF(AC$4&lt;=$A40,NORM.S.INV((AC$4-0.375)/($A40+0.25)),"")</f>
        <v/>
      </c>
      <c r="AD40" s="17">
        <f>IF(AD$4&lt;=$A40,NORM.S.INV((AD$4-0.375)/($A40+0.25)),"")</f>
        <v/>
      </c>
      <c r="AE40" s="17">
        <f>IF(AE$4&lt;=$A40,NORM.S.INV((AE$4-0.375)/($A40+0.25)),"")</f>
        <v/>
      </c>
      <c r="AF40" s="17">
        <f>IF(AF$4&lt;=$A40,NORM.S.INV((AF$4-0.375)/($A40+0.25)),"")</f>
        <v/>
      </c>
      <c r="AG40" s="17">
        <f>IF(AG$4&lt;=$A40,NORM.S.INV((AG$4-0.375)/($A40+0.25)),"")</f>
        <v/>
      </c>
      <c r="AH40" s="17">
        <f>IF(AH$4&lt;=$A40,NORM.S.INV((AH$4-0.375)/($A40+0.25)),"")</f>
        <v/>
      </c>
      <c r="AI40" s="17">
        <f>IF(AI$4&lt;=$A40,NORM.S.INV((AI$4-0.375)/($A40+0.25)),"")</f>
        <v/>
      </c>
      <c r="AJ40" s="17">
        <f>IF(AJ$4&lt;=$A40,NORM.S.INV((AJ$4-0.375)/($A40+0.25)),"")</f>
        <v/>
      </c>
      <c r="AK40" s="17">
        <f>IF(AK$4&lt;=$A40,NORM.S.INV((AK$4-0.375)/($A40+0.25)),"")</f>
        <v/>
      </c>
      <c r="AL40" s="17">
        <f>IF(AL$4&lt;=$A40,NORM.S.INV((AL$4-0.375)/($A40+0.25)),"")</f>
        <v/>
      </c>
      <c r="AM40" s="17">
        <f>IF(AM$4&lt;=$A40,NORM.S.INV((AM$4-0.375)/($A40+0.25)),"")</f>
        <v/>
      </c>
      <c r="AN40" s="17">
        <f>IF(AN$4&lt;=$A40,NORM.S.INV((AN$4-0.375)/($A40+0.25)),"")</f>
        <v/>
      </c>
      <c r="AO40" s="17">
        <f>IF(AO$4&lt;=$A40,NORM.S.INV((AO$4-0.375)/($A40+0.25)),"")</f>
        <v/>
      </c>
      <c r="AP40" s="18">
        <f>STDEVP($B40:$AO40)</f>
        <v/>
      </c>
      <c r="AQ40" s="17">
        <f>AP40</f>
        <v/>
      </c>
      <c r="AR40" s="19" t="inlineStr">
        <is>
          <t>—</t>
        </is>
      </c>
      <c r="AS40" s="20" t="inlineStr">
        <is>
          <t>참고값 없음 (s=1 적용)</t>
        </is>
      </c>
    </row>
    <row r="41">
      <c r="A41" s="16" t="n">
        <v>38</v>
      </c>
      <c r="B41" s="17">
        <f>IF(B$4&lt;=$A41,NORM.S.INV((B$4-0.375)/($A41+0.25)),"")</f>
        <v/>
      </c>
      <c r="C41" s="17">
        <f>IF(C$4&lt;=$A41,NORM.S.INV((C$4-0.375)/($A41+0.25)),"")</f>
        <v/>
      </c>
      <c r="D41" s="17">
        <f>IF(D$4&lt;=$A41,NORM.S.INV((D$4-0.375)/($A41+0.25)),"")</f>
        <v/>
      </c>
      <c r="E41" s="17">
        <f>IF(E$4&lt;=$A41,NORM.S.INV((E$4-0.375)/($A41+0.25)),"")</f>
        <v/>
      </c>
      <c r="F41" s="17">
        <f>IF(F$4&lt;=$A41,NORM.S.INV((F$4-0.375)/($A41+0.25)),"")</f>
        <v/>
      </c>
      <c r="G41" s="17">
        <f>IF(G$4&lt;=$A41,NORM.S.INV((G$4-0.375)/($A41+0.25)),"")</f>
        <v/>
      </c>
      <c r="H41" s="17">
        <f>IF(H$4&lt;=$A41,NORM.S.INV((H$4-0.375)/($A41+0.25)),"")</f>
        <v/>
      </c>
      <c r="I41" s="17">
        <f>IF(I$4&lt;=$A41,NORM.S.INV((I$4-0.375)/($A41+0.25)),"")</f>
        <v/>
      </c>
      <c r="J41" s="17">
        <f>IF(J$4&lt;=$A41,NORM.S.INV((J$4-0.375)/($A41+0.25)),"")</f>
        <v/>
      </c>
      <c r="K41" s="17">
        <f>IF(K$4&lt;=$A41,NORM.S.INV((K$4-0.375)/($A41+0.25)),"")</f>
        <v/>
      </c>
      <c r="L41" s="17">
        <f>IF(L$4&lt;=$A41,NORM.S.INV((L$4-0.375)/($A41+0.25)),"")</f>
        <v/>
      </c>
      <c r="M41" s="17">
        <f>IF(M$4&lt;=$A41,NORM.S.INV((M$4-0.375)/($A41+0.25)),"")</f>
        <v/>
      </c>
      <c r="N41" s="17">
        <f>IF(N$4&lt;=$A41,NORM.S.INV((N$4-0.375)/($A41+0.25)),"")</f>
        <v/>
      </c>
      <c r="O41" s="17">
        <f>IF(O$4&lt;=$A41,NORM.S.INV((O$4-0.375)/($A41+0.25)),"")</f>
        <v/>
      </c>
      <c r="P41" s="17">
        <f>IF(P$4&lt;=$A41,NORM.S.INV((P$4-0.375)/($A41+0.25)),"")</f>
        <v/>
      </c>
      <c r="Q41" s="17">
        <f>IF(Q$4&lt;=$A41,NORM.S.INV((Q$4-0.375)/($A41+0.25)),"")</f>
        <v/>
      </c>
      <c r="R41" s="17">
        <f>IF(R$4&lt;=$A41,NORM.S.INV((R$4-0.375)/($A41+0.25)),"")</f>
        <v/>
      </c>
      <c r="S41" s="17">
        <f>IF(S$4&lt;=$A41,NORM.S.INV((S$4-0.375)/($A41+0.25)),"")</f>
        <v/>
      </c>
      <c r="T41" s="17">
        <f>IF(T$4&lt;=$A41,NORM.S.INV((T$4-0.375)/($A41+0.25)),"")</f>
        <v/>
      </c>
      <c r="U41" s="17">
        <f>IF(U$4&lt;=$A41,NORM.S.INV((U$4-0.375)/($A41+0.25)),"")</f>
        <v/>
      </c>
      <c r="V41" s="17">
        <f>IF(V$4&lt;=$A41,NORM.S.INV((V$4-0.375)/($A41+0.25)),"")</f>
        <v/>
      </c>
      <c r="W41" s="17">
        <f>IF(W$4&lt;=$A41,NORM.S.INV((W$4-0.375)/($A41+0.25)),"")</f>
        <v/>
      </c>
      <c r="X41" s="17">
        <f>IF(X$4&lt;=$A41,NORM.S.INV((X$4-0.375)/($A41+0.25)),"")</f>
        <v/>
      </c>
      <c r="Y41" s="17">
        <f>IF(Y$4&lt;=$A41,NORM.S.INV((Y$4-0.375)/($A41+0.25)),"")</f>
        <v/>
      </c>
      <c r="Z41" s="17">
        <f>IF(Z$4&lt;=$A41,NORM.S.INV((Z$4-0.375)/($A41+0.25)),"")</f>
        <v/>
      </c>
      <c r="AA41" s="17">
        <f>IF(AA$4&lt;=$A41,NORM.S.INV((AA$4-0.375)/($A41+0.25)),"")</f>
        <v/>
      </c>
      <c r="AB41" s="17">
        <f>IF(AB$4&lt;=$A41,NORM.S.INV((AB$4-0.375)/($A41+0.25)),"")</f>
        <v/>
      </c>
      <c r="AC41" s="17">
        <f>IF(AC$4&lt;=$A41,NORM.S.INV((AC$4-0.375)/($A41+0.25)),"")</f>
        <v/>
      </c>
      <c r="AD41" s="17">
        <f>IF(AD$4&lt;=$A41,NORM.S.INV((AD$4-0.375)/($A41+0.25)),"")</f>
        <v/>
      </c>
      <c r="AE41" s="17">
        <f>IF(AE$4&lt;=$A41,NORM.S.INV((AE$4-0.375)/($A41+0.25)),"")</f>
        <v/>
      </c>
      <c r="AF41" s="17">
        <f>IF(AF$4&lt;=$A41,NORM.S.INV((AF$4-0.375)/($A41+0.25)),"")</f>
        <v/>
      </c>
      <c r="AG41" s="17">
        <f>IF(AG$4&lt;=$A41,NORM.S.INV((AG$4-0.375)/($A41+0.25)),"")</f>
        <v/>
      </c>
      <c r="AH41" s="17">
        <f>IF(AH$4&lt;=$A41,NORM.S.INV((AH$4-0.375)/($A41+0.25)),"")</f>
        <v/>
      </c>
      <c r="AI41" s="17">
        <f>IF(AI$4&lt;=$A41,NORM.S.INV((AI$4-0.375)/($A41+0.25)),"")</f>
        <v/>
      </c>
      <c r="AJ41" s="17">
        <f>IF(AJ$4&lt;=$A41,NORM.S.INV((AJ$4-0.375)/($A41+0.25)),"")</f>
        <v/>
      </c>
      <c r="AK41" s="17">
        <f>IF(AK$4&lt;=$A41,NORM.S.INV((AK$4-0.375)/($A41+0.25)),"")</f>
        <v/>
      </c>
      <c r="AL41" s="17">
        <f>IF(AL$4&lt;=$A41,NORM.S.INV((AL$4-0.375)/($A41+0.25)),"")</f>
        <v/>
      </c>
      <c r="AM41" s="17">
        <f>IF(AM$4&lt;=$A41,NORM.S.INV((AM$4-0.375)/($A41+0.25)),"")</f>
        <v/>
      </c>
      <c r="AN41" s="17">
        <f>IF(AN$4&lt;=$A41,NORM.S.INV((AN$4-0.375)/($A41+0.25)),"")</f>
        <v/>
      </c>
      <c r="AO41" s="17">
        <f>IF(AO$4&lt;=$A41,NORM.S.INV((AO$4-0.375)/($A41+0.25)),"")</f>
        <v/>
      </c>
      <c r="AP41" s="18">
        <f>STDEVP($B41:$AO41)</f>
        <v/>
      </c>
      <c r="AQ41" s="17">
        <f>AP41</f>
        <v/>
      </c>
      <c r="AR41" s="19" t="inlineStr">
        <is>
          <t>—</t>
        </is>
      </c>
      <c r="AS41" s="20" t="inlineStr">
        <is>
          <t>참고값 없음 (s=1 적용)</t>
        </is>
      </c>
    </row>
    <row r="42">
      <c r="A42" s="16" t="n">
        <v>39</v>
      </c>
      <c r="B42" s="17">
        <f>IF(B$4&lt;=$A42,NORM.S.INV((B$4-0.375)/($A42+0.25)),"")</f>
        <v/>
      </c>
      <c r="C42" s="17">
        <f>IF(C$4&lt;=$A42,NORM.S.INV((C$4-0.375)/($A42+0.25)),"")</f>
        <v/>
      </c>
      <c r="D42" s="17">
        <f>IF(D$4&lt;=$A42,NORM.S.INV((D$4-0.375)/($A42+0.25)),"")</f>
        <v/>
      </c>
      <c r="E42" s="17">
        <f>IF(E$4&lt;=$A42,NORM.S.INV((E$4-0.375)/($A42+0.25)),"")</f>
        <v/>
      </c>
      <c r="F42" s="17">
        <f>IF(F$4&lt;=$A42,NORM.S.INV((F$4-0.375)/($A42+0.25)),"")</f>
        <v/>
      </c>
      <c r="G42" s="17">
        <f>IF(G$4&lt;=$A42,NORM.S.INV((G$4-0.375)/($A42+0.25)),"")</f>
        <v/>
      </c>
      <c r="H42" s="17">
        <f>IF(H$4&lt;=$A42,NORM.S.INV((H$4-0.375)/($A42+0.25)),"")</f>
        <v/>
      </c>
      <c r="I42" s="17">
        <f>IF(I$4&lt;=$A42,NORM.S.INV((I$4-0.375)/($A42+0.25)),"")</f>
        <v/>
      </c>
      <c r="J42" s="17">
        <f>IF(J$4&lt;=$A42,NORM.S.INV((J$4-0.375)/($A42+0.25)),"")</f>
        <v/>
      </c>
      <c r="K42" s="17">
        <f>IF(K$4&lt;=$A42,NORM.S.INV((K$4-0.375)/($A42+0.25)),"")</f>
        <v/>
      </c>
      <c r="L42" s="17">
        <f>IF(L$4&lt;=$A42,NORM.S.INV((L$4-0.375)/($A42+0.25)),"")</f>
        <v/>
      </c>
      <c r="M42" s="17">
        <f>IF(M$4&lt;=$A42,NORM.S.INV((M$4-0.375)/($A42+0.25)),"")</f>
        <v/>
      </c>
      <c r="N42" s="17">
        <f>IF(N$4&lt;=$A42,NORM.S.INV((N$4-0.375)/($A42+0.25)),"")</f>
        <v/>
      </c>
      <c r="O42" s="17">
        <f>IF(O$4&lt;=$A42,NORM.S.INV((O$4-0.375)/($A42+0.25)),"")</f>
        <v/>
      </c>
      <c r="P42" s="17">
        <f>IF(P$4&lt;=$A42,NORM.S.INV((P$4-0.375)/($A42+0.25)),"")</f>
        <v/>
      </c>
      <c r="Q42" s="17">
        <f>IF(Q$4&lt;=$A42,NORM.S.INV((Q$4-0.375)/($A42+0.25)),"")</f>
        <v/>
      </c>
      <c r="R42" s="17">
        <f>IF(R$4&lt;=$A42,NORM.S.INV((R$4-0.375)/($A42+0.25)),"")</f>
        <v/>
      </c>
      <c r="S42" s="17">
        <f>IF(S$4&lt;=$A42,NORM.S.INV((S$4-0.375)/($A42+0.25)),"")</f>
        <v/>
      </c>
      <c r="T42" s="17">
        <f>IF(T$4&lt;=$A42,NORM.S.INV((T$4-0.375)/($A42+0.25)),"")</f>
        <v/>
      </c>
      <c r="U42" s="17">
        <f>IF(U$4&lt;=$A42,NORM.S.INV((U$4-0.375)/($A42+0.25)),"")</f>
        <v/>
      </c>
      <c r="V42" s="17">
        <f>IF(V$4&lt;=$A42,NORM.S.INV((V$4-0.375)/($A42+0.25)),"")</f>
        <v/>
      </c>
      <c r="W42" s="17">
        <f>IF(W$4&lt;=$A42,NORM.S.INV((W$4-0.375)/($A42+0.25)),"")</f>
        <v/>
      </c>
      <c r="X42" s="17">
        <f>IF(X$4&lt;=$A42,NORM.S.INV((X$4-0.375)/($A42+0.25)),"")</f>
        <v/>
      </c>
      <c r="Y42" s="17">
        <f>IF(Y$4&lt;=$A42,NORM.S.INV((Y$4-0.375)/($A42+0.25)),"")</f>
        <v/>
      </c>
      <c r="Z42" s="17">
        <f>IF(Z$4&lt;=$A42,NORM.S.INV((Z$4-0.375)/($A42+0.25)),"")</f>
        <v/>
      </c>
      <c r="AA42" s="17">
        <f>IF(AA$4&lt;=$A42,NORM.S.INV((AA$4-0.375)/($A42+0.25)),"")</f>
        <v/>
      </c>
      <c r="AB42" s="17">
        <f>IF(AB$4&lt;=$A42,NORM.S.INV((AB$4-0.375)/($A42+0.25)),"")</f>
        <v/>
      </c>
      <c r="AC42" s="17">
        <f>IF(AC$4&lt;=$A42,NORM.S.INV((AC$4-0.375)/($A42+0.25)),"")</f>
        <v/>
      </c>
      <c r="AD42" s="17">
        <f>IF(AD$4&lt;=$A42,NORM.S.INV((AD$4-0.375)/($A42+0.25)),"")</f>
        <v/>
      </c>
      <c r="AE42" s="17">
        <f>IF(AE$4&lt;=$A42,NORM.S.INV((AE$4-0.375)/($A42+0.25)),"")</f>
        <v/>
      </c>
      <c r="AF42" s="17">
        <f>IF(AF$4&lt;=$A42,NORM.S.INV((AF$4-0.375)/($A42+0.25)),"")</f>
        <v/>
      </c>
      <c r="AG42" s="17">
        <f>IF(AG$4&lt;=$A42,NORM.S.INV((AG$4-0.375)/($A42+0.25)),"")</f>
        <v/>
      </c>
      <c r="AH42" s="17">
        <f>IF(AH$4&lt;=$A42,NORM.S.INV((AH$4-0.375)/($A42+0.25)),"")</f>
        <v/>
      </c>
      <c r="AI42" s="17">
        <f>IF(AI$4&lt;=$A42,NORM.S.INV((AI$4-0.375)/($A42+0.25)),"")</f>
        <v/>
      </c>
      <c r="AJ42" s="17">
        <f>IF(AJ$4&lt;=$A42,NORM.S.INV((AJ$4-0.375)/($A42+0.25)),"")</f>
        <v/>
      </c>
      <c r="AK42" s="17">
        <f>IF(AK$4&lt;=$A42,NORM.S.INV((AK$4-0.375)/($A42+0.25)),"")</f>
        <v/>
      </c>
      <c r="AL42" s="17">
        <f>IF(AL$4&lt;=$A42,NORM.S.INV((AL$4-0.375)/($A42+0.25)),"")</f>
        <v/>
      </c>
      <c r="AM42" s="17">
        <f>IF(AM$4&lt;=$A42,NORM.S.INV((AM$4-0.375)/($A42+0.25)),"")</f>
        <v/>
      </c>
      <c r="AN42" s="17">
        <f>IF(AN$4&lt;=$A42,NORM.S.INV((AN$4-0.375)/($A42+0.25)),"")</f>
        <v/>
      </c>
      <c r="AO42" s="17">
        <f>IF(AO$4&lt;=$A42,NORM.S.INV((AO$4-0.375)/($A42+0.25)),"")</f>
        <v/>
      </c>
      <c r="AP42" s="18">
        <f>STDEVP($B42:$AO42)</f>
        <v/>
      </c>
      <c r="AQ42" s="17">
        <f>AP42</f>
        <v/>
      </c>
      <c r="AR42" s="19" t="inlineStr">
        <is>
          <t>—</t>
        </is>
      </c>
      <c r="AS42" s="20" t="inlineStr">
        <is>
          <t>참고값 없음 (s=1 적용)</t>
        </is>
      </c>
    </row>
    <row r="43">
      <c r="A43" s="16" t="n">
        <v>40</v>
      </c>
      <c r="B43" s="17">
        <f>IF(B$4&lt;=$A43,NORM.S.INV((B$4-0.375)/($A43+0.25)),"")</f>
        <v/>
      </c>
      <c r="C43" s="17">
        <f>IF(C$4&lt;=$A43,NORM.S.INV((C$4-0.375)/($A43+0.25)),"")</f>
        <v/>
      </c>
      <c r="D43" s="17">
        <f>IF(D$4&lt;=$A43,NORM.S.INV((D$4-0.375)/($A43+0.25)),"")</f>
        <v/>
      </c>
      <c r="E43" s="17">
        <f>IF(E$4&lt;=$A43,NORM.S.INV((E$4-0.375)/($A43+0.25)),"")</f>
        <v/>
      </c>
      <c r="F43" s="17">
        <f>IF(F$4&lt;=$A43,NORM.S.INV((F$4-0.375)/($A43+0.25)),"")</f>
        <v/>
      </c>
      <c r="G43" s="17">
        <f>IF(G$4&lt;=$A43,NORM.S.INV((G$4-0.375)/($A43+0.25)),"")</f>
        <v/>
      </c>
      <c r="H43" s="17">
        <f>IF(H$4&lt;=$A43,NORM.S.INV((H$4-0.375)/($A43+0.25)),"")</f>
        <v/>
      </c>
      <c r="I43" s="17">
        <f>IF(I$4&lt;=$A43,NORM.S.INV((I$4-0.375)/($A43+0.25)),"")</f>
        <v/>
      </c>
      <c r="J43" s="17">
        <f>IF(J$4&lt;=$A43,NORM.S.INV((J$4-0.375)/($A43+0.25)),"")</f>
        <v/>
      </c>
      <c r="K43" s="17">
        <f>IF(K$4&lt;=$A43,NORM.S.INV((K$4-0.375)/($A43+0.25)),"")</f>
        <v/>
      </c>
      <c r="L43" s="17">
        <f>IF(L$4&lt;=$A43,NORM.S.INV((L$4-0.375)/($A43+0.25)),"")</f>
        <v/>
      </c>
      <c r="M43" s="17">
        <f>IF(M$4&lt;=$A43,NORM.S.INV((M$4-0.375)/($A43+0.25)),"")</f>
        <v/>
      </c>
      <c r="N43" s="17">
        <f>IF(N$4&lt;=$A43,NORM.S.INV((N$4-0.375)/($A43+0.25)),"")</f>
        <v/>
      </c>
      <c r="O43" s="17">
        <f>IF(O$4&lt;=$A43,NORM.S.INV((O$4-0.375)/($A43+0.25)),"")</f>
        <v/>
      </c>
      <c r="P43" s="17">
        <f>IF(P$4&lt;=$A43,NORM.S.INV((P$4-0.375)/($A43+0.25)),"")</f>
        <v/>
      </c>
      <c r="Q43" s="17">
        <f>IF(Q$4&lt;=$A43,NORM.S.INV((Q$4-0.375)/($A43+0.25)),"")</f>
        <v/>
      </c>
      <c r="R43" s="17">
        <f>IF(R$4&lt;=$A43,NORM.S.INV((R$4-0.375)/($A43+0.25)),"")</f>
        <v/>
      </c>
      <c r="S43" s="17">
        <f>IF(S$4&lt;=$A43,NORM.S.INV((S$4-0.375)/($A43+0.25)),"")</f>
        <v/>
      </c>
      <c r="T43" s="17">
        <f>IF(T$4&lt;=$A43,NORM.S.INV((T$4-0.375)/($A43+0.25)),"")</f>
        <v/>
      </c>
      <c r="U43" s="17">
        <f>IF(U$4&lt;=$A43,NORM.S.INV((U$4-0.375)/($A43+0.25)),"")</f>
        <v/>
      </c>
      <c r="V43" s="17">
        <f>IF(V$4&lt;=$A43,NORM.S.INV((V$4-0.375)/($A43+0.25)),"")</f>
        <v/>
      </c>
      <c r="W43" s="17">
        <f>IF(W$4&lt;=$A43,NORM.S.INV((W$4-0.375)/($A43+0.25)),"")</f>
        <v/>
      </c>
      <c r="X43" s="17">
        <f>IF(X$4&lt;=$A43,NORM.S.INV((X$4-0.375)/($A43+0.25)),"")</f>
        <v/>
      </c>
      <c r="Y43" s="17">
        <f>IF(Y$4&lt;=$A43,NORM.S.INV((Y$4-0.375)/($A43+0.25)),"")</f>
        <v/>
      </c>
      <c r="Z43" s="17">
        <f>IF(Z$4&lt;=$A43,NORM.S.INV((Z$4-0.375)/($A43+0.25)),"")</f>
        <v/>
      </c>
      <c r="AA43" s="17">
        <f>IF(AA$4&lt;=$A43,NORM.S.INV((AA$4-0.375)/($A43+0.25)),"")</f>
        <v/>
      </c>
      <c r="AB43" s="17">
        <f>IF(AB$4&lt;=$A43,NORM.S.INV((AB$4-0.375)/($A43+0.25)),"")</f>
        <v/>
      </c>
      <c r="AC43" s="17">
        <f>IF(AC$4&lt;=$A43,NORM.S.INV((AC$4-0.375)/($A43+0.25)),"")</f>
        <v/>
      </c>
      <c r="AD43" s="17">
        <f>IF(AD$4&lt;=$A43,NORM.S.INV((AD$4-0.375)/($A43+0.25)),"")</f>
        <v/>
      </c>
      <c r="AE43" s="17">
        <f>IF(AE$4&lt;=$A43,NORM.S.INV((AE$4-0.375)/($A43+0.25)),"")</f>
        <v/>
      </c>
      <c r="AF43" s="17">
        <f>IF(AF$4&lt;=$A43,NORM.S.INV((AF$4-0.375)/($A43+0.25)),"")</f>
        <v/>
      </c>
      <c r="AG43" s="17">
        <f>IF(AG$4&lt;=$A43,NORM.S.INV((AG$4-0.375)/($A43+0.25)),"")</f>
        <v/>
      </c>
      <c r="AH43" s="17">
        <f>IF(AH$4&lt;=$A43,NORM.S.INV((AH$4-0.375)/($A43+0.25)),"")</f>
        <v/>
      </c>
      <c r="AI43" s="17">
        <f>IF(AI$4&lt;=$A43,NORM.S.INV((AI$4-0.375)/($A43+0.25)),"")</f>
        <v/>
      </c>
      <c r="AJ43" s="17">
        <f>IF(AJ$4&lt;=$A43,NORM.S.INV((AJ$4-0.375)/($A43+0.25)),"")</f>
        <v/>
      </c>
      <c r="AK43" s="17">
        <f>IF(AK$4&lt;=$A43,NORM.S.INV((AK$4-0.375)/($A43+0.25)),"")</f>
        <v/>
      </c>
      <c r="AL43" s="17">
        <f>IF(AL$4&lt;=$A43,NORM.S.INV((AL$4-0.375)/($A43+0.25)),"")</f>
        <v/>
      </c>
      <c r="AM43" s="17">
        <f>IF(AM$4&lt;=$A43,NORM.S.INV((AM$4-0.375)/($A43+0.25)),"")</f>
        <v/>
      </c>
      <c r="AN43" s="17">
        <f>IF(AN$4&lt;=$A43,NORM.S.INV((AN$4-0.375)/($A43+0.25)),"")</f>
        <v/>
      </c>
      <c r="AO43" s="17">
        <f>IF(AO$4&lt;=$A43,NORM.S.INV((AO$4-0.375)/($A43+0.25)),"")</f>
        <v/>
      </c>
      <c r="AP43" s="18">
        <f>STDEVP($B43:$AO43)</f>
        <v/>
      </c>
      <c r="AQ43" s="17">
        <f>AP43</f>
        <v/>
      </c>
      <c r="AR43" s="19" t="inlineStr">
        <is>
          <t>—</t>
        </is>
      </c>
      <c r="AS43" s="20" t="inlineStr">
        <is>
          <t>참고값 없음 (s=1 적용)</t>
        </is>
      </c>
    </row>
  </sheetData>
  <conditionalFormatting sqref="AS5:AS43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7" customWidth="1" min="4" max="4"/>
    <col width="10" customWidth="1" min="5" max="5"/>
    <col width="9" customWidth="1" min="6" max="6"/>
    <col width="8" customWidth="1" min="7" max="7"/>
    <col width="11" customWidth="1" min="8" max="8"/>
    <col width="9" customWidth="1" min="9" max="9"/>
    <col width="12" customWidth="1" min="10" max="10"/>
    <col width="10" customWidth="1" min="11" max="11"/>
    <col width="11" customWidth="1" min="12" max="12"/>
    <col width="14" customWidth="1" min="13" max="13"/>
    <col width="10" customWidth="1" min="14" max="14"/>
    <col width="12" customWidth="1" min="15" max="15"/>
    <col width="28" customWidth="1" min="16" max="16"/>
    <col width="10" customWidth="1" min="17" max="17"/>
    <col width="11" customWidth="1" min="18" max="18"/>
    <col width="14" customWidth="1" min="19" max="19"/>
    <col width="14" customWidth="1" min="20" max="20"/>
    <col width="16" customWidth="1" min="21" max="21"/>
    <col width="18" customWidth="1" min="22" max="22"/>
  </cols>
  <sheetData>
    <row r="1">
      <c r="A1" s="14" t="inlineStr">
        <is>
          <t>② 평가군 계산 — 개정안 [별표 9] 제1호~제3호·제5호·제7호</t>
        </is>
      </c>
    </row>
    <row r="2">
      <c r="A2" s="21" t="inlineStr">
        <is>
          <t>고지 — 이 파일의 모든 인명·점수는 산식 검증을 위한 모의 예시 데이터이며, 창업진흥원의 실제 근무평정 결과가 아니다.</t>
        </is>
      </c>
    </row>
    <row r="3">
      <c r="A3" s="15" t="inlineStr">
        <is>
          <t>입력(연노랑): 원점수 · 조정(제7호) · 조정 사유      나머지(연회색)는 모두 자동 계산</t>
        </is>
      </c>
    </row>
    <row r="4">
      <c r="A4" s="2" t="inlineStr">
        <is>
          <t>동점 입력 건수 →</t>
        </is>
      </c>
      <c r="C4" s="7">
        <f>IF(COUNTIF($Q$6:$Q$79,"★동점")=0,"0건 (정상)",COUNTIF($Q$6:$Q$79,"★동점")&amp;"건 ★ 개정 2 위반 — 순위가 중복되어 산식이 깨진다. 원점수를 고쳐라")</f>
        <v/>
      </c>
      <c r="L4" s="2" t="inlineStr">
        <is>
          <t>제5호 적용 평가군 수 →</t>
        </is>
      </c>
      <c r="O4" s="19">
        <f>SUMPRODUCT((COUNTIF($A$6:$A$79,$A$6:$A$79)&lt;6)/COUNTIF($A$6:$A$79,$A$6:$A$79))</f>
        <v/>
      </c>
    </row>
    <row r="5" ht="34" customHeight="1">
      <c r="A5" s="10" t="inlineStr">
        <is>
          <t>평가군</t>
        </is>
      </c>
      <c r="B5" s="10" t="inlineStr">
        <is>
          <t>평가자명</t>
        </is>
      </c>
      <c r="C5" s="10" t="inlineStr">
        <is>
          <t>평가군 구분</t>
        </is>
      </c>
      <c r="D5" s="10" t="inlineStr">
        <is>
          <t>직급</t>
        </is>
      </c>
      <c r="E5" s="10" t="inlineStr">
        <is>
          <t>피평가자</t>
        </is>
      </c>
      <c r="F5" s="10" t="inlineStr">
        <is>
          <t>원점수</t>
        </is>
      </c>
      <c r="G5" s="10" t="inlineStr">
        <is>
          <t>인원 n</t>
        </is>
      </c>
      <c r="H5" s="10" t="inlineStr">
        <is>
          <t>순위 r
(낮은 순 = 1위)</t>
        </is>
      </c>
      <c r="I5" s="10" t="inlineStr">
        <is>
          <t>s(n)</t>
        </is>
      </c>
      <c r="J5" s="10" t="inlineStr">
        <is>
          <t>p =
(r−0.375)/(n+0.25)</t>
        </is>
      </c>
      <c r="K5" s="10" t="inlineStr">
        <is>
          <t>z = Φ⁻¹(p)</t>
        </is>
      </c>
      <c r="L5" s="10" t="inlineStr">
        <is>
          <t>보정점수
(제3호)</t>
        </is>
      </c>
      <c r="M5" s="10" t="inlineStr">
        <is>
          <t>적용 기준점수
(제5호 반영)</t>
        </is>
      </c>
      <c r="N5" s="10" t="inlineStr">
        <is>
          <t>조정
(제7호 ±5)</t>
        </is>
      </c>
      <c r="O5" s="10" t="inlineStr">
        <is>
          <t>조정 후 점수</t>
        </is>
      </c>
      <c r="P5" s="10" t="inlineStr">
        <is>
          <t>조정 사유</t>
        </is>
      </c>
      <c r="Q5" s="10" t="inlineStr">
        <is>
          <t>동점 경고</t>
        </is>
      </c>
      <c r="R5" s="10" t="inlineStr">
        <is>
          <t>보정 후 순위</t>
        </is>
      </c>
      <c r="S5" s="10" t="inlineStr">
        <is>
          <t>순위 보존 검증</t>
        </is>
      </c>
      <c r="T5" s="10" t="inlineStr">
        <is>
          <t>키 (계산용)</t>
        </is>
      </c>
      <c r="U5" s="10" t="inlineStr">
        <is>
          <t>절단 전 보정점수
(60·100 미적용)</t>
        </is>
      </c>
      <c r="V5" s="10" t="inlineStr">
        <is>
          <t>절단 전 조정 후 점수
(60·100 미적용)</t>
        </is>
      </c>
    </row>
    <row r="6">
      <c r="A6" s="19" t="inlineStr">
        <is>
          <t>평가군 1</t>
        </is>
      </c>
      <c r="B6" s="19" t="inlineStr">
        <is>
          <t>평가자 1</t>
        </is>
      </c>
      <c r="C6" s="19" t="inlineStr">
        <is>
          <t>1차</t>
        </is>
      </c>
      <c r="D6" s="19" t="inlineStr">
        <is>
          <t>5급</t>
        </is>
      </c>
      <c r="E6" s="19" t="inlineStr">
        <is>
          <t>직원01</t>
        </is>
      </c>
      <c r="F6" s="22" t="n">
        <v>98</v>
      </c>
      <c r="G6" s="19">
        <f>COUNTIF($A$6:$A$79,$A6)</f>
        <v/>
      </c>
      <c r="H6" s="19">
        <f>RANK.EQ($F6,$F$6:$F$15,1)</f>
        <v/>
      </c>
      <c r="I6" s="23">
        <f>INDEX('s(n) 표'!$AQ$5:$AQ$43,MATCH($G6,'s(n) 표'!$A$5:$A$43,0))</f>
        <v/>
      </c>
      <c r="J6" s="17">
        <f>($H6-0.375)/($G6+0.25)</f>
        <v/>
      </c>
      <c r="K6" s="17">
        <f>NORM.S.INV($J6)</f>
        <v/>
      </c>
      <c r="L6" s="24">
        <f>IF($G6&lt;6,"",ROUND(MEDIAN(60,80+7*$K6/$I6,100),3))</f>
        <v/>
      </c>
      <c r="M6" s="24">
        <f>IF($G6&gt;=6,$L6,IFERROR(IF(INDEX($L$6:$L$79,MATCH($E6&amp;"|2차",$T$6:$T$79,0))="",80,INDEX($L$6:$L$79,MATCH($E6&amp;"|2차",$T$6:$T$79,0))),80))</f>
        <v/>
      </c>
      <c r="N6" s="16" t="n">
        <v>5</v>
      </c>
      <c r="O6" s="24">
        <f>IF($N6="",$M6,ROUND(MEDIAN(60,$M6+$N6,100),3))</f>
        <v/>
      </c>
      <c r="P6" s="25" t="inlineStr">
        <is>
          <t>±5점 조정 — 사유 기재 필수</t>
        </is>
      </c>
      <c r="Q6" s="19">
        <f>IF(COUNTIFS($A$6:$A$79,$A6,$F$6:$F$79,$F6)&gt;1,"★동점","")</f>
        <v/>
      </c>
      <c r="R6" s="19">
        <f>IF($L6="","",RANK.EQ($L6,$L$6:$L$15,1))</f>
        <v/>
      </c>
      <c r="S6" s="19">
        <f>IF($L6="","제5호 - 미실시",IF($R6=$H6,"보존","★불일치"))</f>
        <v/>
      </c>
      <c r="T6" s="20">
        <f>$E6&amp;"|"&amp;$C6</f>
        <v/>
      </c>
      <c r="U6" s="24">
        <f>IF($G6&lt;6,"",80+7*$K6/$I6)</f>
        <v/>
      </c>
      <c r="V6" s="24">
        <f>IF($N6="",$M6,$M6+$N6)</f>
        <v/>
      </c>
    </row>
    <row r="7">
      <c r="A7" s="19" t="inlineStr">
        <is>
          <t>평가군 1</t>
        </is>
      </c>
      <c r="B7" s="19" t="inlineStr">
        <is>
          <t>평가자 1</t>
        </is>
      </c>
      <c r="C7" s="19" t="inlineStr">
        <is>
          <t>1차</t>
        </is>
      </c>
      <c r="D7" s="19" t="inlineStr">
        <is>
          <t>5급</t>
        </is>
      </c>
      <c r="E7" s="19" t="inlineStr">
        <is>
          <t>직원02</t>
        </is>
      </c>
      <c r="F7" s="22" t="n">
        <v>95</v>
      </c>
      <c r="G7" s="19">
        <f>COUNTIF($A$6:$A$79,$A7)</f>
        <v/>
      </c>
      <c r="H7" s="19">
        <f>RANK.EQ($F7,$F$6:$F$15,1)</f>
        <v/>
      </c>
      <c r="I7" s="23">
        <f>INDEX('s(n) 표'!$AQ$5:$AQ$43,MATCH($G7,'s(n) 표'!$A$5:$A$43,0))</f>
        <v/>
      </c>
      <c r="J7" s="17">
        <f>($H7-0.375)/($G7+0.25)</f>
        <v/>
      </c>
      <c r="K7" s="17">
        <f>NORM.S.INV($J7)</f>
        <v/>
      </c>
      <c r="L7" s="24">
        <f>IF($G7&lt;6,"",ROUND(MEDIAN(60,80+7*$K7/$I7,100),3))</f>
        <v/>
      </c>
      <c r="M7" s="24">
        <f>IF($G7&gt;=6,$L7,IFERROR(IF(INDEX($L$6:$L$79,MATCH($E7&amp;"|2차",$T$6:$T$79,0))="",80,INDEX($L$6:$L$79,MATCH($E7&amp;"|2차",$T$6:$T$79,0))),80))</f>
        <v/>
      </c>
      <c r="N7" s="16" t="n">
        <v>3</v>
      </c>
      <c r="O7" s="24">
        <f>IF($N7="",$M7,ROUND(MEDIAN(60,$M7+$N7,100),3))</f>
        <v/>
      </c>
      <c r="P7" s="25" t="inlineStr">
        <is>
          <t>조정 사유 기재</t>
        </is>
      </c>
      <c r="Q7" s="19">
        <f>IF(COUNTIFS($A$6:$A$79,$A7,$F$6:$F$79,$F7)&gt;1,"★동점","")</f>
        <v/>
      </c>
      <c r="R7" s="19">
        <f>IF($L7="","",RANK.EQ($L7,$L$6:$L$15,1))</f>
        <v/>
      </c>
      <c r="S7" s="19">
        <f>IF($L7="","제5호 - 미실시",IF($R7=$H7,"보존","★불일치"))</f>
        <v/>
      </c>
      <c r="T7" s="20">
        <f>$E7&amp;"|"&amp;$C7</f>
        <v/>
      </c>
      <c r="U7" s="24">
        <f>IF($G7&lt;6,"",80+7*$K7/$I7)</f>
        <v/>
      </c>
      <c r="V7" s="24">
        <f>IF($N7="",$M7,$M7+$N7)</f>
        <v/>
      </c>
    </row>
    <row r="8">
      <c r="A8" s="19" t="inlineStr">
        <is>
          <t>평가군 1</t>
        </is>
      </c>
      <c r="B8" s="19" t="inlineStr">
        <is>
          <t>평가자 1</t>
        </is>
      </c>
      <c r="C8" s="19" t="inlineStr">
        <is>
          <t>1차</t>
        </is>
      </c>
      <c r="D8" s="19" t="inlineStr">
        <is>
          <t>5급</t>
        </is>
      </c>
      <c r="E8" s="19" t="inlineStr">
        <is>
          <t>직원03</t>
        </is>
      </c>
      <c r="F8" s="22" t="n">
        <v>92</v>
      </c>
      <c r="G8" s="19">
        <f>COUNTIF($A$6:$A$79,$A8)</f>
        <v/>
      </c>
      <c r="H8" s="19">
        <f>RANK.EQ($F8,$F$6:$F$15,1)</f>
        <v/>
      </c>
      <c r="I8" s="23">
        <f>INDEX('s(n) 표'!$AQ$5:$AQ$43,MATCH($G8,'s(n) 표'!$A$5:$A$43,0))</f>
        <v/>
      </c>
      <c r="J8" s="17">
        <f>($H8-0.375)/($G8+0.25)</f>
        <v/>
      </c>
      <c r="K8" s="17">
        <f>NORM.S.INV($J8)</f>
        <v/>
      </c>
      <c r="L8" s="24">
        <f>IF($G8&lt;6,"",ROUND(MEDIAN(60,80+7*$K8/$I8,100),3))</f>
        <v/>
      </c>
      <c r="M8" s="24">
        <f>IF($G8&gt;=6,$L8,IFERROR(IF(INDEX($L$6:$L$79,MATCH($E8&amp;"|2차",$T$6:$T$79,0))="",80,INDEX($L$6:$L$79,MATCH($E8&amp;"|2차",$T$6:$T$79,0))),80))</f>
        <v/>
      </c>
      <c r="N8" s="16" t="n">
        <v>2</v>
      </c>
      <c r="O8" s="24">
        <f>IF($N8="",$M8,ROUND(MEDIAN(60,$M8+$N8,100),3))</f>
        <v/>
      </c>
      <c r="P8" s="25" t="inlineStr">
        <is>
          <t>조정 사유 기재</t>
        </is>
      </c>
      <c r="Q8" s="19">
        <f>IF(COUNTIFS($A$6:$A$79,$A8,$F$6:$F$79,$F8)&gt;1,"★동점","")</f>
        <v/>
      </c>
      <c r="R8" s="19">
        <f>IF($L8="","",RANK.EQ($L8,$L$6:$L$15,1))</f>
        <v/>
      </c>
      <c r="S8" s="19">
        <f>IF($L8="","제5호 - 미실시",IF($R8=$H8,"보존","★불일치"))</f>
        <v/>
      </c>
      <c r="T8" s="20">
        <f>$E8&amp;"|"&amp;$C8</f>
        <v/>
      </c>
      <c r="U8" s="24">
        <f>IF($G8&lt;6,"",80+7*$K8/$I8)</f>
        <v/>
      </c>
      <c r="V8" s="24">
        <f>IF($N8="",$M8,$M8+$N8)</f>
        <v/>
      </c>
    </row>
    <row r="9">
      <c r="A9" s="19" t="inlineStr">
        <is>
          <t>평가군 1</t>
        </is>
      </c>
      <c r="B9" s="19" t="inlineStr">
        <is>
          <t>평가자 1</t>
        </is>
      </c>
      <c r="C9" s="19" t="inlineStr">
        <is>
          <t>1차</t>
        </is>
      </c>
      <c r="D9" s="19" t="inlineStr">
        <is>
          <t>5급</t>
        </is>
      </c>
      <c r="E9" s="19" t="inlineStr">
        <is>
          <t>직원04</t>
        </is>
      </c>
      <c r="F9" s="22" t="n">
        <v>88</v>
      </c>
      <c r="G9" s="19">
        <f>COUNTIF($A$6:$A$79,$A9)</f>
        <v/>
      </c>
      <c r="H9" s="19">
        <f>RANK.EQ($F9,$F$6:$F$15,1)</f>
        <v/>
      </c>
      <c r="I9" s="23">
        <f>INDEX('s(n) 표'!$AQ$5:$AQ$43,MATCH($G9,'s(n) 표'!$A$5:$A$43,0))</f>
        <v/>
      </c>
      <c r="J9" s="17">
        <f>($H9-0.375)/($G9+0.25)</f>
        <v/>
      </c>
      <c r="K9" s="17">
        <f>NORM.S.INV($J9)</f>
        <v/>
      </c>
      <c r="L9" s="24">
        <f>IF($G9&lt;6,"",ROUND(MEDIAN(60,80+7*$K9/$I9,100),3))</f>
        <v/>
      </c>
      <c r="M9" s="24">
        <f>IF($G9&gt;=6,$L9,IFERROR(IF(INDEX($L$6:$L$79,MATCH($E9&amp;"|2차",$T$6:$T$79,0))="",80,INDEX($L$6:$L$79,MATCH($E9&amp;"|2차",$T$6:$T$79,0))),80))</f>
        <v/>
      </c>
      <c r="N9" s="16" t="n">
        <v>1</v>
      </c>
      <c r="O9" s="24">
        <f>IF($N9="",$M9,ROUND(MEDIAN(60,$M9+$N9,100),3))</f>
        <v/>
      </c>
      <c r="P9" s="25" t="inlineStr">
        <is>
          <t>조정 사유 기재</t>
        </is>
      </c>
      <c r="Q9" s="19">
        <f>IF(COUNTIFS($A$6:$A$79,$A9,$F$6:$F$79,$F9)&gt;1,"★동점","")</f>
        <v/>
      </c>
      <c r="R9" s="19">
        <f>IF($L9="","",RANK.EQ($L9,$L$6:$L$15,1))</f>
        <v/>
      </c>
      <c r="S9" s="19">
        <f>IF($L9="","제5호 - 미실시",IF($R9=$H9,"보존","★불일치"))</f>
        <v/>
      </c>
      <c r="T9" s="20">
        <f>$E9&amp;"|"&amp;$C9</f>
        <v/>
      </c>
      <c r="U9" s="24">
        <f>IF($G9&lt;6,"",80+7*$K9/$I9)</f>
        <v/>
      </c>
      <c r="V9" s="24">
        <f>IF($N9="",$M9,$M9+$N9)</f>
        <v/>
      </c>
    </row>
    <row r="10">
      <c r="A10" s="19" t="inlineStr">
        <is>
          <t>평가군 1</t>
        </is>
      </c>
      <c r="B10" s="19" t="inlineStr">
        <is>
          <t>평가자 1</t>
        </is>
      </c>
      <c r="C10" s="19" t="inlineStr">
        <is>
          <t>1차</t>
        </is>
      </c>
      <c r="D10" s="19" t="inlineStr">
        <is>
          <t>5급</t>
        </is>
      </c>
      <c r="E10" s="19" t="inlineStr">
        <is>
          <t>직원05</t>
        </is>
      </c>
      <c r="F10" s="22" t="n">
        <v>84</v>
      </c>
      <c r="G10" s="19">
        <f>COUNTIF($A$6:$A$79,$A10)</f>
        <v/>
      </c>
      <c r="H10" s="19">
        <f>RANK.EQ($F10,$F$6:$F$15,1)</f>
        <v/>
      </c>
      <c r="I10" s="23">
        <f>INDEX('s(n) 표'!$AQ$5:$AQ$43,MATCH($G10,'s(n) 표'!$A$5:$A$43,0))</f>
        <v/>
      </c>
      <c r="J10" s="17">
        <f>($H10-0.375)/($G10+0.25)</f>
        <v/>
      </c>
      <c r="K10" s="17">
        <f>NORM.S.INV($J10)</f>
        <v/>
      </c>
      <c r="L10" s="24">
        <f>IF($G10&lt;6,"",ROUND(MEDIAN(60,80+7*$K10/$I10,100),3))</f>
        <v/>
      </c>
      <c r="M10" s="24">
        <f>IF($G10&gt;=6,$L10,IFERROR(IF(INDEX($L$6:$L$79,MATCH($E10&amp;"|2차",$T$6:$T$79,0))="",80,INDEX($L$6:$L$79,MATCH($E10&amp;"|2차",$T$6:$T$79,0))),80))</f>
        <v/>
      </c>
      <c r="N10" s="16" t="n">
        <v>0</v>
      </c>
      <c r="O10" s="24">
        <f>IF($N10="",$M10,ROUND(MEDIAN(60,$M10+$N10,100),3))</f>
        <v/>
      </c>
      <c r="P10" s="25" t="inlineStr"/>
      <c r="Q10" s="19">
        <f>IF(COUNTIFS($A$6:$A$79,$A10,$F$6:$F$79,$F10)&gt;1,"★동점","")</f>
        <v/>
      </c>
      <c r="R10" s="19">
        <f>IF($L10="","",RANK.EQ($L10,$L$6:$L$15,1))</f>
        <v/>
      </c>
      <c r="S10" s="19">
        <f>IF($L10="","제5호 - 미실시",IF($R10=$H10,"보존","★불일치"))</f>
        <v/>
      </c>
      <c r="T10" s="20">
        <f>$E10&amp;"|"&amp;$C10</f>
        <v/>
      </c>
      <c r="U10" s="24">
        <f>IF($G10&lt;6,"",80+7*$K10/$I10)</f>
        <v/>
      </c>
      <c r="V10" s="24">
        <f>IF($N10="",$M10,$M10+$N10)</f>
        <v/>
      </c>
    </row>
    <row r="11">
      <c r="A11" s="19" t="inlineStr">
        <is>
          <t>평가군 1</t>
        </is>
      </c>
      <c r="B11" s="19" t="inlineStr">
        <is>
          <t>평가자 1</t>
        </is>
      </c>
      <c r="C11" s="19" t="inlineStr">
        <is>
          <t>1차</t>
        </is>
      </c>
      <c r="D11" s="19" t="inlineStr">
        <is>
          <t>5급</t>
        </is>
      </c>
      <c r="E11" s="19" t="inlineStr">
        <is>
          <t>직원06</t>
        </is>
      </c>
      <c r="F11" s="22" t="n">
        <v>80</v>
      </c>
      <c r="G11" s="19">
        <f>COUNTIF($A$6:$A$79,$A11)</f>
        <v/>
      </c>
      <c r="H11" s="19">
        <f>RANK.EQ($F11,$F$6:$F$15,1)</f>
        <v/>
      </c>
      <c r="I11" s="23">
        <f>INDEX('s(n) 표'!$AQ$5:$AQ$43,MATCH($G11,'s(n) 표'!$A$5:$A$43,0))</f>
        <v/>
      </c>
      <c r="J11" s="17">
        <f>($H11-0.375)/($G11+0.25)</f>
        <v/>
      </c>
      <c r="K11" s="17">
        <f>NORM.S.INV($J11)</f>
        <v/>
      </c>
      <c r="L11" s="24">
        <f>IF($G11&lt;6,"",ROUND(MEDIAN(60,80+7*$K11/$I11,100),3))</f>
        <v/>
      </c>
      <c r="M11" s="24">
        <f>IF($G11&gt;=6,$L11,IFERROR(IF(INDEX($L$6:$L$79,MATCH($E11&amp;"|2차",$T$6:$T$79,0))="",80,INDEX($L$6:$L$79,MATCH($E11&amp;"|2차",$T$6:$T$79,0))),80))</f>
        <v/>
      </c>
      <c r="N11" s="16" t="n">
        <v>0</v>
      </c>
      <c r="O11" s="24">
        <f>IF($N11="",$M11,ROUND(MEDIAN(60,$M11+$N11,100),3))</f>
        <v/>
      </c>
      <c r="P11" s="25" t="inlineStr"/>
      <c r="Q11" s="19">
        <f>IF(COUNTIFS($A$6:$A$79,$A11,$F$6:$F$79,$F11)&gt;1,"★동점","")</f>
        <v/>
      </c>
      <c r="R11" s="19">
        <f>IF($L11="","",RANK.EQ($L11,$L$6:$L$15,1))</f>
        <v/>
      </c>
      <c r="S11" s="19">
        <f>IF($L11="","제5호 - 미실시",IF($R11=$H11,"보존","★불일치"))</f>
        <v/>
      </c>
      <c r="T11" s="20">
        <f>$E11&amp;"|"&amp;$C11</f>
        <v/>
      </c>
      <c r="U11" s="24">
        <f>IF($G11&lt;6,"",80+7*$K11/$I11)</f>
        <v/>
      </c>
      <c r="V11" s="24">
        <f>IF($N11="",$M11,$M11+$N11)</f>
        <v/>
      </c>
    </row>
    <row r="12">
      <c r="A12" s="19" t="inlineStr">
        <is>
          <t>평가군 1</t>
        </is>
      </c>
      <c r="B12" s="19" t="inlineStr">
        <is>
          <t>평가자 1</t>
        </is>
      </c>
      <c r="C12" s="19" t="inlineStr">
        <is>
          <t>1차</t>
        </is>
      </c>
      <c r="D12" s="19" t="inlineStr">
        <is>
          <t>5급</t>
        </is>
      </c>
      <c r="E12" s="19" t="inlineStr">
        <is>
          <t>직원07</t>
        </is>
      </c>
      <c r="F12" s="22" t="n">
        <v>76</v>
      </c>
      <c r="G12" s="19">
        <f>COUNTIF($A$6:$A$79,$A12)</f>
        <v/>
      </c>
      <c r="H12" s="19">
        <f>RANK.EQ($F12,$F$6:$F$15,1)</f>
        <v/>
      </c>
      <c r="I12" s="23">
        <f>INDEX('s(n) 표'!$AQ$5:$AQ$43,MATCH($G12,'s(n) 표'!$A$5:$A$43,0))</f>
        <v/>
      </c>
      <c r="J12" s="17">
        <f>($H12-0.375)/($G12+0.25)</f>
        <v/>
      </c>
      <c r="K12" s="17">
        <f>NORM.S.INV($J12)</f>
        <v/>
      </c>
      <c r="L12" s="24">
        <f>IF($G12&lt;6,"",ROUND(MEDIAN(60,80+7*$K12/$I12,100),3))</f>
        <v/>
      </c>
      <c r="M12" s="24">
        <f>IF($G12&gt;=6,$L12,IFERROR(IF(INDEX($L$6:$L$79,MATCH($E12&amp;"|2차",$T$6:$T$79,0))="",80,INDEX($L$6:$L$79,MATCH($E12&amp;"|2차",$T$6:$T$79,0))),80))</f>
        <v/>
      </c>
      <c r="N12" s="16" t="n">
        <v>-1</v>
      </c>
      <c r="O12" s="24">
        <f>IF($N12="",$M12,ROUND(MEDIAN(60,$M12+$N12,100),3))</f>
        <v/>
      </c>
      <c r="P12" s="25" t="inlineStr">
        <is>
          <t>조정 사유 기재</t>
        </is>
      </c>
      <c r="Q12" s="19">
        <f>IF(COUNTIFS($A$6:$A$79,$A12,$F$6:$F$79,$F12)&gt;1,"★동점","")</f>
        <v/>
      </c>
      <c r="R12" s="19">
        <f>IF($L12="","",RANK.EQ($L12,$L$6:$L$15,1))</f>
        <v/>
      </c>
      <c r="S12" s="19">
        <f>IF($L12="","제5호 - 미실시",IF($R12=$H12,"보존","★불일치"))</f>
        <v/>
      </c>
      <c r="T12" s="20">
        <f>$E12&amp;"|"&amp;$C12</f>
        <v/>
      </c>
      <c r="U12" s="24">
        <f>IF($G12&lt;6,"",80+7*$K12/$I12)</f>
        <v/>
      </c>
      <c r="V12" s="24">
        <f>IF($N12="",$M12,$M12+$N12)</f>
        <v/>
      </c>
    </row>
    <row r="13">
      <c r="A13" s="19" t="inlineStr">
        <is>
          <t>평가군 1</t>
        </is>
      </c>
      <c r="B13" s="19" t="inlineStr">
        <is>
          <t>평가자 1</t>
        </is>
      </c>
      <c r="C13" s="19" t="inlineStr">
        <is>
          <t>1차</t>
        </is>
      </c>
      <c r="D13" s="19" t="inlineStr">
        <is>
          <t>5급</t>
        </is>
      </c>
      <c r="E13" s="19" t="inlineStr">
        <is>
          <t>직원08</t>
        </is>
      </c>
      <c r="F13" s="22" t="n">
        <v>72</v>
      </c>
      <c r="G13" s="19">
        <f>COUNTIF($A$6:$A$79,$A13)</f>
        <v/>
      </c>
      <c r="H13" s="19">
        <f>RANK.EQ($F13,$F$6:$F$15,1)</f>
        <v/>
      </c>
      <c r="I13" s="23">
        <f>INDEX('s(n) 표'!$AQ$5:$AQ$43,MATCH($G13,'s(n) 표'!$A$5:$A$43,0))</f>
        <v/>
      </c>
      <c r="J13" s="17">
        <f>($H13-0.375)/($G13+0.25)</f>
        <v/>
      </c>
      <c r="K13" s="17">
        <f>NORM.S.INV($J13)</f>
        <v/>
      </c>
      <c r="L13" s="24">
        <f>IF($G13&lt;6,"",ROUND(MEDIAN(60,80+7*$K13/$I13,100),3))</f>
        <v/>
      </c>
      <c r="M13" s="24">
        <f>IF($G13&gt;=6,$L13,IFERROR(IF(INDEX($L$6:$L$79,MATCH($E13&amp;"|2차",$T$6:$T$79,0))="",80,INDEX($L$6:$L$79,MATCH($E13&amp;"|2차",$T$6:$T$79,0))),80))</f>
        <v/>
      </c>
      <c r="N13" s="16" t="n">
        <v>-2</v>
      </c>
      <c r="O13" s="24">
        <f>IF($N13="",$M13,ROUND(MEDIAN(60,$M13+$N13,100),3))</f>
        <v/>
      </c>
      <c r="P13" s="25" t="inlineStr">
        <is>
          <t>조정 사유 기재</t>
        </is>
      </c>
      <c r="Q13" s="19">
        <f>IF(COUNTIFS($A$6:$A$79,$A13,$F$6:$F$79,$F13)&gt;1,"★동점","")</f>
        <v/>
      </c>
      <c r="R13" s="19">
        <f>IF($L13="","",RANK.EQ($L13,$L$6:$L$15,1))</f>
        <v/>
      </c>
      <c r="S13" s="19">
        <f>IF($L13="","제5호 - 미실시",IF($R13=$H13,"보존","★불일치"))</f>
        <v/>
      </c>
      <c r="T13" s="20">
        <f>$E13&amp;"|"&amp;$C13</f>
        <v/>
      </c>
      <c r="U13" s="24">
        <f>IF($G13&lt;6,"",80+7*$K13/$I13)</f>
        <v/>
      </c>
      <c r="V13" s="24">
        <f>IF($N13="",$M13,$M13+$N13)</f>
        <v/>
      </c>
    </row>
    <row r="14">
      <c r="A14" s="19" t="inlineStr">
        <is>
          <t>평가군 1</t>
        </is>
      </c>
      <c r="B14" s="19" t="inlineStr">
        <is>
          <t>평가자 1</t>
        </is>
      </c>
      <c r="C14" s="19" t="inlineStr">
        <is>
          <t>1차</t>
        </is>
      </c>
      <c r="D14" s="19" t="inlineStr">
        <is>
          <t>5급</t>
        </is>
      </c>
      <c r="E14" s="19" t="inlineStr">
        <is>
          <t>직원09</t>
        </is>
      </c>
      <c r="F14" s="22" t="n">
        <v>66</v>
      </c>
      <c r="G14" s="19">
        <f>COUNTIF($A$6:$A$79,$A14)</f>
        <v/>
      </c>
      <c r="H14" s="19">
        <f>RANK.EQ($F14,$F$6:$F$15,1)</f>
        <v/>
      </c>
      <c r="I14" s="23">
        <f>INDEX('s(n) 표'!$AQ$5:$AQ$43,MATCH($G14,'s(n) 표'!$A$5:$A$43,0))</f>
        <v/>
      </c>
      <c r="J14" s="17">
        <f>($H14-0.375)/($G14+0.25)</f>
        <v/>
      </c>
      <c r="K14" s="17">
        <f>NORM.S.INV($J14)</f>
        <v/>
      </c>
      <c r="L14" s="24">
        <f>IF($G14&lt;6,"",ROUND(MEDIAN(60,80+7*$K14/$I14,100),3))</f>
        <v/>
      </c>
      <c r="M14" s="24">
        <f>IF($G14&gt;=6,$L14,IFERROR(IF(INDEX($L$6:$L$79,MATCH($E14&amp;"|2차",$T$6:$T$79,0))="",80,INDEX($L$6:$L$79,MATCH($E14&amp;"|2차",$T$6:$T$79,0))),80))</f>
        <v/>
      </c>
      <c r="N14" s="16" t="n">
        <v>-3</v>
      </c>
      <c r="O14" s="24">
        <f>IF($N14="",$M14,ROUND(MEDIAN(60,$M14+$N14,100),3))</f>
        <v/>
      </c>
      <c r="P14" s="25" t="inlineStr">
        <is>
          <t>조정 사유 기재</t>
        </is>
      </c>
      <c r="Q14" s="19">
        <f>IF(COUNTIFS($A$6:$A$79,$A14,$F$6:$F$79,$F14)&gt;1,"★동점","")</f>
        <v/>
      </c>
      <c r="R14" s="19">
        <f>IF($L14="","",RANK.EQ($L14,$L$6:$L$15,1))</f>
        <v/>
      </c>
      <c r="S14" s="19">
        <f>IF($L14="","제5호 - 미실시",IF($R14=$H14,"보존","★불일치"))</f>
        <v/>
      </c>
      <c r="T14" s="20">
        <f>$E14&amp;"|"&amp;$C14</f>
        <v/>
      </c>
      <c r="U14" s="24">
        <f>IF($G14&lt;6,"",80+7*$K14/$I14)</f>
        <v/>
      </c>
      <c r="V14" s="24">
        <f>IF($N14="",$M14,$M14+$N14)</f>
        <v/>
      </c>
    </row>
    <row r="15">
      <c r="A15" s="19" t="inlineStr">
        <is>
          <t>평가군 1</t>
        </is>
      </c>
      <c r="B15" s="19" t="inlineStr">
        <is>
          <t>평가자 1</t>
        </is>
      </c>
      <c r="C15" s="19" t="inlineStr">
        <is>
          <t>1차</t>
        </is>
      </c>
      <c r="D15" s="19" t="inlineStr">
        <is>
          <t>5급</t>
        </is>
      </c>
      <c r="E15" s="19" t="inlineStr">
        <is>
          <t>직원10</t>
        </is>
      </c>
      <c r="F15" s="22" t="n">
        <v>60</v>
      </c>
      <c r="G15" s="19">
        <f>COUNTIF($A$6:$A$79,$A15)</f>
        <v/>
      </c>
      <c r="H15" s="19">
        <f>RANK.EQ($F15,$F$6:$F$15,1)</f>
        <v/>
      </c>
      <c r="I15" s="23">
        <f>INDEX('s(n) 표'!$AQ$5:$AQ$43,MATCH($G15,'s(n) 표'!$A$5:$A$43,0))</f>
        <v/>
      </c>
      <c r="J15" s="17">
        <f>($H15-0.375)/($G15+0.25)</f>
        <v/>
      </c>
      <c r="K15" s="17">
        <f>NORM.S.INV($J15)</f>
        <v/>
      </c>
      <c r="L15" s="24">
        <f>IF($G15&lt;6,"",ROUND(MEDIAN(60,80+7*$K15/$I15,100),3))</f>
        <v/>
      </c>
      <c r="M15" s="24">
        <f>IF($G15&gt;=6,$L15,IFERROR(IF(INDEX($L$6:$L$79,MATCH($E15&amp;"|2차",$T$6:$T$79,0))="",80,INDEX($L$6:$L$79,MATCH($E15&amp;"|2차",$T$6:$T$79,0))),80))</f>
        <v/>
      </c>
      <c r="N15" s="16" t="n">
        <v>-5</v>
      </c>
      <c r="O15" s="24">
        <f>IF($N15="",$M15,ROUND(MEDIAN(60,$M15+$N15,100),3))</f>
        <v/>
      </c>
      <c r="P15" s="25" t="inlineStr">
        <is>
          <t>±5점 조정 — 사유 기재 필수</t>
        </is>
      </c>
      <c r="Q15" s="19">
        <f>IF(COUNTIFS($A$6:$A$79,$A15,$F$6:$F$79,$F15)&gt;1,"★동점","")</f>
        <v/>
      </c>
      <c r="R15" s="19">
        <f>IF($L15="","",RANK.EQ($L15,$L$6:$L$15,1))</f>
        <v/>
      </c>
      <c r="S15" s="19">
        <f>IF($L15="","제5호 - 미실시",IF($R15=$H15,"보존","★불일치"))</f>
        <v/>
      </c>
      <c r="T15" s="20">
        <f>$E15&amp;"|"&amp;$C15</f>
        <v/>
      </c>
      <c r="U15" s="24">
        <f>IF($G15&lt;6,"",80+7*$K15/$I15)</f>
        <v/>
      </c>
      <c r="V15" s="24">
        <f>IF($N15="",$M15,$M15+$N15)</f>
        <v/>
      </c>
    </row>
    <row r="16">
      <c r="A16" s="19" t="inlineStr">
        <is>
          <t>평가군 2</t>
        </is>
      </c>
      <c r="B16" s="19" t="inlineStr">
        <is>
          <t>평가자 2</t>
        </is>
      </c>
      <c r="C16" s="19" t="inlineStr">
        <is>
          <t>1차</t>
        </is>
      </c>
      <c r="D16" s="19" t="inlineStr">
        <is>
          <t>5급</t>
        </is>
      </c>
      <c r="E16" s="19" t="inlineStr">
        <is>
          <t>직원11</t>
        </is>
      </c>
      <c r="F16" s="22" t="n">
        <v>92</v>
      </c>
      <c r="G16" s="19">
        <f>COUNTIF($A$6:$A$79,$A16)</f>
        <v/>
      </c>
      <c r="H16" s="19">
        <f>RANK.EQ($F16,$F$16:$F$19,1)</f>
        <v/>
      </c>
      <c r="I16" s="23">
        <f>INDEX('s(n) 표'!$AQ$5:$AQ$43,MATCH($G16,'s(n) 표'!$A$5:$A$43,0))</f>
        <v/>
      </c>
      <c r="J16" s="17">
        <f>($H16-0.375)/($G16+0.25)</f>
        <v/>
      </c>
      <c r="K16" s="17">
        <f>NORM.S.INV($J16)</f>
        <v/>
      </c>
      <c r="L16" s="24">
        <f>IF($G16&lt;6,"",ROUND(MEDIAN(60,80+7*$K16/$I16,100),3))</f>
        <v/>
      </c>
      <c r="M16" s="24">
        <f>IF($G16&gt;=6,$L16,IFERROR(IF(INDEX($L$6:$L$79,MATCH($E16&amp;"|2차",$T$6:$T$79,0))="",80,INDEX($L$6:$L$79,MATCH($E16&amp;"|2차",$T$6:$T$79,0))),80))</f>
        <v/>
      </c>
      <c r="N16" s="16" t="n">
        <v>4</v>
      </c>
      <c r="O16" s="24">
        <f>IF($N16="",$M16,ROUND(MEDIAN(60,$M16+$N16,100),3))</f>
        <v/>
      </c>
      <c r="P16" s="25" t="inlineStr">
        <is>
          <t>조정 사유 기재</t>
        </is>
      </c>
      <c r="Q16" s="19">
        <f>IF(COUNTIFS($A$6:$A$79,$A16,$F$6:$F$79,$F16)&gt;1,"★동점","")</f>
        <v/>
      </c>
      <c r="R16" s="19">
        <f>IF($L16="","",RANK.EQ($L16,$L$16:$L$19,1))</f>
        <v/>
      </c>
      <c r="S16" s="19">
        <f>IF($L16="","제5호 - 미실시",IF($R16=$H16,"보존","★불일치"))</f>
        <v/>
      </c>
      <c r="T16" s="20">
        <f>$E16&amp;"|"&amp;$C16</f>
        <v/>
      </c>
      <c r="U16" s="24">
        <f>IF($G16&lt;6,"",80+7*$K16/$I16)</f>
        <v/>
      </c>
      <c r="V16" s="24">
        <f>IF($N16="",$M16,$M16+$N16)</f>
        <v/>
      </c>
    </row>
    <row r="17">
      <c r="A17" s="19" t="inlineStr">
        <is>
          <t>평가군 2</t>
        </is>
      </c>
      <c r="B17" s="19" t="inlineStr">
        <is>
          <t>평가자 2</t>
        </is>
      </c>
      <c r="C17" s="19" t="inlineStr">
        <is>
          <t>1차</t>
        </is>
      </c>
      <c r="D17" s="19" t="inlineStr">
        <is>
          <t>5급</t>
        </is>
      </c>
      <c r="E17" s="19" t="inlineStr">
        <is>
          <t>직원12</t>
        </is>
      </c>
      <c r="F17" s="22" t="n">
        <v>86</v>
      </c>
      <c r="G17" s="19">
        <f>COUNTIF($A$6:$A$79,$A17)</f>
        <v/>
      </c>
      <c r="H17" s="19">
        <f>RANK.EQ($F17,$F$16:$F$19,1)</f>
        <v/>
      </c>
      <c r="I17" s="23">
        <f>INDEX('s(n) 표'!$AQ$5:$AQ$43,MATCH($G17,'s(n) 표'!$A$5:$A$43,0))</f>
        <v/>
      </c>
      <c r="J17" s="17">
        <f>($H17-0.375)/($G17+0.25)</f>
        <v/>
      </c>
      <c r="K17" s="17">
        <f>NORM.S.INV($J17)</f>
        <v/>
      </c>
      <c r="L17" s="24">
        <f>IF($G17&lt;6,"",ROUND(MEDIAN(60,80+7*$K17/$I17,100),3))</f>
        <v/>
      </c>
      <c r="M17" s="24">
        <f>IF($G17&gt;=6,$L17,IFERROR(IF(INDEX($L$6:$L$79,MATCH($E17&amp;"|2차",$T$6:$T$79,0))="",80,INDEX($L$6:$L$79,MATCH($E17&amp;"|2차",$T$6:$T$79,0))),80))</f>
        <v/>
      </c>
      <c r="N17" s="16" t="n">
        <v>1</v>
      </c>
      <c r="O17" s="24">
        <f>IF($N17="",$M17,ROUND(MEDIAN(60,$M17+$N17,100),3))</f>
        <v/>
      </c>
      <c r="P17" s="25" t="inlineStr">
        <is>
          <t>조정 사유 기재</t>
        </is>
      </c>
      <c r="Q17" s="19">
        <f>IF(COUNTIFS($A$6:$A$79,$A17,$F$6:$F$79,$F17)&gt;1,"★동점","")</f>
        <v/>
      </c>
      <c r="R17" s="19">
        <f>IF($L17="","",RANK.EQ($L17,$L$16:$L$19,1))</f>
        <v/>
      </c>
      <c r="S17" s="19">
        <f>IF($L17="","제5호 - 미실시",IF($R17=$H17,"보존","★불일치"))</f>
        <v/>
      </c>
      <c r="T17" s="20">
        <f>$E17&amp;"|"&amp;$C17</f>
        <v/>
      </c>
      <c r="U17" s="24">
        <f>IF($G17&lt;6,"",80+7*$K17/$I17)</f>
        <v/>
      </c>
      <c r="V17" s="24">
        <f>IF($N17="",$M17,$M17+$N17)</f>
        <v/>
      </c>
    </row>
    <row r="18">
      <c r="A18" s="19" t="inlineStr">
        <is>
          <t>평가군 2</t>
        </is>
      </c>
      <c r="B18" s="19" t="inlineStr">
        <is>
          <t>평가자 2</t>
        </is>
      </c>
      <c r="C18" s="19" t="inlineStr">
        <is>
          <t>1차</t>
        </is>
      </c>
      <c r="D18" s="19" t="inlineStr">
        <is>
          <t>5급</t>
        </is>
      </c>
      <c r="E18" s="19" t="inlineStr">
        <is>
          <t>직원13</t>
        </is>
      </c>
      <c r="F18" s="22" t="n">
        <v>78</v>
      </c>
      <c r="G18" s="19">
        <f>COUNTIF($A$6:$A$79,$A18)</f>
        <v/>
      </c>
      <c r="H18" s="19">
        <f>RANK.EQ($F18,$F$16:$F$19,1)</f>
        <v/>
      </c>
      <c r="I18" s="23">
        <f>INDEX('s(n) 표'!$AQ$5:$AQ$43,MATCH($G18,'s(n) 표'!$A$5:$A$43,0))</f>
        <v/>
      </c>
      <c r="J18" s="17">
        <f>($H18-0.375)/($G18+0.25)</f>
        <v/>
      </c>
      <c r="K18" s="17">
        <f>NORM.S.INV($J18)</f>
        <v/>
      </c>
      <c r="L18" s="24">
        <f>IF($G18&lt;6,"",ROUND(MEDIAN(60,80+7*$K18/$I18,100),3))</f>
        <v/>
      </c>
      <c r="M18" s="24">
        <f>IF($G18&gt;=6,$L18,IFERROR(IF(INDEX($L$6:$L$79,MATCH($E18&amp;"|2차",$T$6:$T$79,0))="",80,INDEX($L$6:$L$79,MATCH($E18&amp;"|2차",$T$6:$T$79,0))),80))</f>
        <v/>
      </c>
      <c r="N18" s="16" t="n">
        <v>-1</v>
      </c>
      <c r="O18" s="24">
        <f>IF($N18="",$M18,ROUND(MEDIAN(60,$M18+$N18,100),3))</f>
        <v/>
      </c>
      <c r="P18" s="25" t="inlineStr">
        <is>
          <t>조정 사유 기재</t>
        </is>
      </c>
      <c r="Q18" s="19">
        <f>IF(COUNTIFS($A$6:$A$79,$A18,$F$6:$F$79,$F18)&gt;1,"★동점","")</f>
        <v/>
      </c>
      <c r="R18" s="19">
        <f>IF($L18="","",RANK.EQ($L18,$L$16:$L$19,1))</f>
        <v/>
      </c>
      <c r="S18" s="19">
        <f>IF($L18="","제5호 - 미실시",IF($R18=$H18,"보존","★불일치"))</f>
        <v/>
      </c>
      <c r="T18" s="20">
        <f>$E18&amp;"|"&amp;$C18</f>
        <v/>
      </c>
      <c r="U18" s="24">
        <f>IF($G18&lt;6,"",80+7*$K18/$I18)</f>
        <v/>
      </c>
      <c r="V18" s="24">
        <f>IF($N18="",$M18,$M18+$N18)</f>
        <v/>
      </c>
    </row>
    <row r="19">
      <c r="A19" s="19" t="inlineStr">
        <is>
          <t>평가군 2</t>
        </is>
      </c>
      <c r="B19" s="19" t="inlineStr">
        <is>
          <t>평가자 2</t>
        </is>
      </c>
      <c r="C19" s="19" t="inlineStr">
        <is>
          <t>1차</t>
        </is>
      </c>
      <c r="D19" s="19" t="inlineStr">
        <is>
          <t>5급</t>
        </is>
      </c>
      <c r="E19" s="19" t="inlineStr">
        <is>
          <t>직원14</t>
        </is>
      </c>
      <c r="F19" s="22" t="n">
        <v>70</v>
      </c>
      <c r="G19" s="19">
        <f>COUNTIF($A$6:$A$79,$A19)</f>
        <v/>
      </c>
      <c r="H19" s="19">
        <f>RANK.EQ($F19,$F$16:$F$19,1)</f>
        <v/>
      </c>
      <c r="I19" s="23">
        <f>INDEX('s(n) 표'!$AQ$5:$AQ$43,MATCH($G19,'s(n) 표'!$A$5:$A$43,0))</f>
        <v/>
      </c>
      <c r="J19" s="17">
        <f>($H19-0.375)/($G19+0.25)</f>
        <v/>
      </c>
      <c r="K19" s="17">
        <f>NORM.S.INV($J19)</f>
        <v/>
      </c>
      <c r="L19" s="24">
        <f>IF($G19&lt;6,"",ROUND(MEDIAN(60,80+7*$K19/$I19,100),3))</f>
        <v/>
      </c>
      <c r="M19" s="24">
        <f>IF($G19&gt;=6,$L19,IFERROR(IF(INDEX($L$6:$L$79,MATCH($E19&amp;"|2차",$T$6:$T$79,0))="",80,INDEX($L$6:$L$79,MATCH($E19&amp;"|2차",$T$6:$T$79,0))),80))</f>
        <v/>
      </c>
      <c r="N19" s="16" t="n">
        <v>-4</v>
      </c>
      <c r="O19" s="24">
        <f>IF($N19="",$M19,ROUND(MEDIAN(60,$M19+$N19,100),3))</f>
        <v/>
      </c>
      <c r="P19" s="25" t="inlineStr">
        <is>
          <t>조정 사유 기재</t>
        </is>
      </c>
      <c r="Q19" s="19">
        <f>IF(COUNTIFS($A$6:$A$79,$A19,$F$6:$F$79,$F19)&gt;1,"★동점","")</f>
        <v/>
      </c>
      <c r="R19" s="19">
        <f>IF($L19="","",RANK.EQ($L19,$L$16:$L$19,1))</f>
        <v/>
      </c>
      <c r="S19" s="19">
        <f>IF($L19="","제5호 - 미실시",IF($R19=$H19,"보존","★불일치"))</f>
        <v/>
      </c>
      <c r="T19" s="20">
        <f>$E19&amp;"|"&amp;$C19</f>
        <v/>
      </c>
      <c r="U19" s="24">
        <f>IF($G19&lt;6,"",80+7*$K19/$I19)</f>
        <v/>
      </c>
      <c r="V19" s="24">
        <f>IF($N19="",$M19,$M19+$N19)</f>
        <v/>
      </c>
    </row>
    <row r="20">
      <c r="A20" s="19" t="inlineStr">
        <is>
          <t>평가군 3</t>
        </is>
      </c>
      <c r="B20" s="19" t="inlineStr">
        <is>
          <t>평가자 3</t>
        </is>
      </c>
      <c r="C20" s="19" t="inlineStr">
        <is>
          <t>1차</t>
        </is>
      </c>
      <c r="D20" s="19" t="inlineStr">
        <is>
          <t>5급</t>
        </is>
      </c>
      <c r="E20" s="19" t="inlineStr">
        <is>
          <t>직원15</t>
        </is>
      </c>
      <c r="F20" s="22" t="n">
        <v>78</v>
      </c>
      <c r="G20" s="19">
        <f>COUNTIF($A$6:$A$79,$A20)</f>
        <v/>
      </c>
      <c r="H20" s="19">
        <f>RANK.EQ($F20,$F$20:$F$35,1)</f>
        <v/>
      </c>
      <c r="I20" s="23">
        <f>INDEX('s(n) 표'!$AQ$5:$AQ$43,MATCH($G20,'s(n) 표'!$A$5:$A$43,0))</f>
        <v/>
      </c>
      <c r="J20" s="17">
        <f>($H20-0.375)/($G20+0.25)</f>
        <v/>
      </c>
      <c r="K20" s="17">
        <f>NORM.S.INV($J20)</f>
        <v/>
      </c>
      <c r="L20" s="24">
        <f>IF($G20&lt;6,"",ROUND(MEDIAN(60,80+7*$K20/$I20,100),3))</f>
        <v/>
      </c>
      <c r="M20" s="24">
        <f>IF($G20&gt;=6,$L20,IFERROR(IF(INDEX($L$6:$L$79,MATCH($E20&amp;"|2차",$T$6:$T$79,0))="",80,INDEX($L$6:$L$79,MATCH($E20&amp;"|2차",$T$6:$T$79,0))),80))</f>
        <v/>
      </c>
      <c r="N20" s="16" t="n">
        <v>0</v>
      </c>
      <c r="O20" s="24">
        <f>IF($N20="",$M20,ROUND(MEDIAN(60,$M20+$N20,100),3))</f>
        <v/>
      </c>
      <c r="P20" s="25" t="inlineStr"/>
      <c r="Q20" s="19">
        <f>IF(COUNTIFS($A$6:$A$79,$A20,$F$6:$F$79,$F20)&gt;1,"★동점","")</f>
        <v/>
      </c>
      <c r="R20" s="19">
        <f>IF($L20="","",RANK.EQ($L20,$L$20:$L$35,1))</f>
        <v/>
      </c>
      <c r="S20" s="19">
        <f>IF($L20="","제5호 - 미실시",IF($R20=$H20,"보존","★불일치"))</f>
        <v/>
      </c>
      <c r="T20" s="20">
        <f>$E20&amp;"|"&amp;$C20</f>
        <v/>
      </c>
      <c r="U20" s="24">
        <f>IF($G20&lt;6,"",80+7*$K20/$I20)</f>
        <v/>
      </c>
      <c r="V20" s="24">
        <f>IF($N20="",$M20,$M20+$N20)</f>
        <v/>
      </c>
    </row>
    <row r="21">
      <c r="A21" s="19" t="inlineStr">
        <is>
          <t>평가군 3</t>
        </is>
      </c>
      <c r="B21" s="19" t="inlineStr">
        <is>
          <t>평가자 3</t>
        </is>
      </c>
      <c r="C21" s="19" t="inlineStr">
        <is>
          <t>1차</t>
        </is>
      </c>
      <c r="D21" s="19" t="inlineStr">
        <is>
          <t>5급</t>
        </is>
      </c>
      <c r="E21" s="19" t="inlineStr">
        <is>
          <t>직원16</t>
        </is>
      </c>
      <c r="F21" s="22" t="n">
        <v>78.09999999999999</v>
      </c>
      <c r="G21" s="19">
        <f>COUNTIF($A$6:$A$79,$A21)</f>
        <v/>
      </c>
      <c r="H21" s="19">
        <f>RANK.EQ($F21,$F$20:$F$35,1)</f>
        <v/>
      </c>
      <c r="I21" s="23">
        <f>INDEX('s(n) 표'!$AQ$5:$AQ$43,MATCH($G21,'s(n) 표'!$A$5:$A$43,0))</f>
        <v/>
      </c>
      <c r="J21" s="17">
        <f>($H21-0.375)/($G21+0.25)</f>
        <v/>
      </c>
      <c r="K21" s="17">
        <f>NORM.S.INV($J21)</f>
        <v/>
      </c>
      <c r="L21" s="24">
        <f>IF($G21&lt;6,"",ROUND(MEDIAN(60,80+7*$K21/$I21,100),3))</f>
        <v/>
      </c>
      <c r="M21" s="24">
        <f>IF($G21&gt;=6,$L21,IFERROR(IF(INDEX($L$6:$L$79,MATCH($E21&amp;"|2차",$T$6:$T$79,0))="",80,INDEX($L$6:$L$79,MATCH($E21&amp;"|2차",$T$6:$T$79,0))),80))</f>
        <v/>
      </c>
      <c r="N21" s="16" t="n">
        <v>0</v>
      </c>
      <c r="O21" s="24">
        <f>IF($N21="",$M21,ROUND(MEDIAN(60,$M21+$N21,100),3))</f>
        <v/>
      </c>
      <c r="P21" s="25" t="inlineStr"/>
      <c r="Q21" s="19">
        <f>IF(COUNTIFS($A$6:$A$79,$A21,$F$6:$F$79,$F21)&gt;1,"★동점","")</f>
        <v/>
      </c>
      <c r="R21" s="19">
        <f>IF($L21="","",RANK.EQ($L21,$L$20:$L$35,1))</f>
        <v/>
      </c>
      <c r="S21" s="19">
        <f>IF($L21="","제5호 - 미실시",IF($R21=$H21,"보존","★불일치"))</f>
        <v/>
      </c>
      <c r="T21" s="20">
        <f>$E21&amp;"|"&amp;$C21</f>
        <v/>
      </c>
      <c r="U21" s="24">
        <f>IF($G21&lt;6,"",80+7*$K21/$I21)</f>
        <v/>
      </c>
      <c r="V21" s="24">
        <f>IF($N21="",$M21,$M21+$N21)</f>
        <v/>
      </c>
    </row>
    <row r="22">
      <c r="A22" s="19" t="inlineStr">
        <is>
          <t>평가군 3</t>
        </is>
      </c>
      <c r="B22" s="19" t="inlineStr">
        <is>
          <t>평가자 3</t>
        </is>
      </c>
      <c r="C22" s="19" t="inlineStr">
        <is>
          <t>1차</t>
        </is>
      </c>
      <c r="D22" s="19" t="inlineStr">
        <is>
          <t>5급</t>
        </is>
      </c>
      <c r="E22" s="19" t="inlineStr">
        <is>
          <t>직원17</t>
        </is>
      </c>
      <c r="F22" s="22" t="n">
        <v>78.2</v>
      </c>
      <c r="G22" s="19">
        <f>COUNTIF($A$6:$A$79,$A22)</f>
        <v/>
      </c>
      <c r="H22" s="19">
        <f>RANK.EQ($F22,$F$20:$F$35,1)</f>
        <v/>
      </c>
      <c r="I22" s="23">
        <f>INDEX('s(n) 표'!$AQ$5:$AQ$43,MATCH($G22,'s(n) 표'!$A$5:$A$43,0))</f>
        <v/>
      </c>
      <c r="J22" s="17">
        <f>($H22-0.375)/($G22+0.25)</f>
        <v/>
      </c>
      <c r="K22" s="17">
        <f>NORM.S.INV($J22)</f>
        <v/>
      </c>
      <c r="L22" s="24">
        <f>IF($G22&lt;6,"",ROUND(MEDIAN(60,80+7*$K22/$I22,100),3))</f>
        <v/>
      </c>
      <c r="M22" s="24">
        <f>IF($G22&gt;=6,$L22,IFERROR(IF(INDEX($L$6:$L$79,MATCH($E22&amp;"|2차",$T$6:$T$79,0))="",80,INDEX($L$6:$L$79,MATCH($E22&amp;"|2차",$T$6:$T$79,0))),80))</f>
        <v/>
      </c>
      <c r="N22" s="16" t="n">
        <v>0</v>
      </c>
      <c r="O22" s="24">
        <f>IF($N22="",$M22,ROUND(MEDIAN(60,$M22+$N22,100),3))</f>
        <v/>
      </c>
      <c r="P22" s="25" t="inlineStr"/>
      <c r="Q22" s="19">
        <f>IF(COUNTIFS($A$6:$A$79,$A22,$F$6:$F$79,$F22)&gt;1,"★동점","")</f>
        <v/>
      </c>
      <c r="R22" s="19">
        <f>IF($L22="","",RANK.EQ($L22,$L$20:$L$35,1))</f>
        <v/>
      </c>
      <c r="S22" s="19">
        <f>IF($L22="","제5호 - 미실시",IF($R22=$H22,"보존","★불일치"))</f>
        <v/>
      </c>
      <c r="T22" s="20">
        <f>$E22&amp;"|"&amp;$C22</f>
        <v/>
      </c>
      <c r="U22" s="24">
        <f>IF($G22&lt;6,"",80+7*$K22/$I22)</f>
        <v/>
      </c>
      <c r="V22" s="24">
        <f>IF($N22="",$M22,$M22+$N22)</f>
        <v/>
      </c>
    </row>
    <row r="23">
      <c r="A23" s="19" t="inlineStr">
        <is>
          <t>평가군 3</t>
        </is>
      </c>
      <c r="B23" s="19" t="inlineStr">
        <is>
          <t>평가자 3</t>
        </is>
      </c>
      <c r="C23" s="19" t="inlineStr">
        <is>
          <t>1차</t>
        </is>
      </c>
      <c r="D23" s="19" t="inlineStr">
        <is>
          <t>5급</t>
        </is>
      </c>
      <c r="E23" s="19" t="inlineStr">
        <is>
          <t>직원18</t>
        </is>
      </c>
      <c r="F23" s="22" t="n">
        <v>78.3</v>
      </c>
      <c r="G23" s="19">
        <f>COUNTIF($A$6:$A$79,$A23)</f>
        <v/>
      </c>
      <c r="H23" s="19">
        <f>RANK.EQ($F23,$F$20:$F$35,1)</f>
        <v/>
      </c>
      <c r="I23" s="23">
        <f>INDEX('s(n) 표'!$AQ$5:$AQ$43,MATCH($G23,'s(n) 표'!$A$5:$A$43,0))</f>
        <v/>
      </c>
      <c r="J23" s="17">
        <f>($H23-0.375)/($G23+0.25)</f>
        <v/>
      </c>
      <c r="K23" s="17">
        <f>NORM.S.INV($J23)</f>
        <v/>
      </c>
      <c r="L23" s="24">
        <f>IF($G23&lt;6,"",ROUND(MEDIAN(60,80+7*$K23/$I23,100),3))</f>
        <v/>
      </c>
      <c r="M23" s="24">
        <f>IF($G23&gt;=6,$L23,IFERROR(IF(INDEX($L$6:$L$79,MATCH($E23&amp;"|2차",$T$6:$T$79,0))="",80,INDEX($L$6:$L$79,MATCH($E23&amp;"|2차",$T$6:$T$79,0))),80))</f>
        <v/>
      </c>
      <c r="N23" s="16" t="n">
        <v>0</v>
      </c>
      <c r="O23" s="24">
        <f>IF($N23="",$M23,ROUND(MEDIAN(60,$M23+$N23,100),3))</f>
        <v/>
      </c>
      <c r="P23" s="25" t="inlineStr"/>
      <c r="Q23" s="19">
        <f>IF(COUNTIFS($A$6:$A$79,$A23,$F$6:$F$79,$F23)&gt;1,"★동점","")</f>
        <v/>
      </c>
      <c r="R23" s="19">
        <f>IF($L23="","",RANK.EQ($L23,$L$20:$L$35,1))</f>
        <v/>
      </c>
      <c r="S23" s="19">
        <f>IF($L23="","제5호 - 미실시",IF($R23=$H23,"보존","★불일치"))</f>
        <v/>
      </c>
      <c r="T23" s="20">
        <f>$E23&amp;"|"&amp;$C23</f>
        <v/>
      </c>
      <c r="U23" s="24">
        <f>IF($G23&lt;6,"",80+7*$K23/$I23)</f>
        <v/>
      </c>
      <c r="V23" s="24">
        <f>IF($N23="",$M23,$M23+$N23)</f>
        <v/>
      </c>
    </row>
    <row r="24">
      <c r="A24" s="19" t="inlineStr">
        <is>
          <t>평가군 3</t>
        </is>
      </c>
      <c r="B24" s="19" t="inlineStr">
        <is>
          <t>평가자 3</t>
        </is>
      </c>
      <c r="C24" s="19" t="inlineStr">
        <is>
          <t>1차</t>
        </is>
      </c>
      <c r="D24" s="19" t="inlineStr">
        <is>
          <t>5급</t>
        </is>
      </c>
      <c r="E24" s="19" t="inlineStr">
        <is>
          <t>직원19</t>
        </is>
      </c>
      <c r="F24" s="22" t="n">
        <v>78.40000000000001</v>
      </c>
      <c r="G24" s="19">
        <f>COUNTIF($A$6:$A$79,$A24)</f>
        <v/>
      </c>
      <c r="H24" s="19">
        <f>RANK.EQ($F24,$F$20:$F$35,1)</f>
        <v/>
      </c>
      <c r="I24" s="23">
        <f>INDEX('s(n) 표'!$AQ$5:$AQ$43,MATCH($G24,'s(n) 표'!$A$5:$A$43,0))</f>
        <v/>
      </c>
      <c r="J24" s="17">
        <f>($H24-0.375)/($G24+0.25)</f>
        <v/>
      </c>
      <c r="K24" s="17">
        <f>NORM.S.INV($J24)</f>
        <v/>
      </c>
      <c r="L24" s="24">
        <f>IF($G24&lt;6,"",ROUND(MEDIAN(60,80+7*$K24/$I24,100),3))</f>
        <v/>
      </c>
      <c r="M24" s="24">
        <f>IF($G24&gt;=6,$L24,IFERROR(IF(INDEX($L$6:$L$79,MATCH($E24&amp;"|2차",$T$6:$T$79,0))="",80,INDEX($L$6:$L$79,MATCH($E24&amp;"|2차",$T$6:$T$79,0))),80))</f>
        <v/>
      </c>
      <c r="N24" s="16" t="n">
        <v>0</v>
      </c>
      <c r="O24" s="24">
        <f>IF($N24="",$M24,ROUND(MEDIAN(60,$M24+$N24,100),3))</f>
        <v/>
      </c>
      <c r="P24" s="25" t="inlineStr"/>
      <c r="Q24" s="19">
        <f>IF(COUNTIFS($A$6:$A$79,$A24,$F$6:$F$79,$F24)&gt;1,"★동점","")</f>
        <v/>
      </c>
      <c r="R24" s="19">
        <f>IF($L24="","",RANK.EQ($L24,$L$20:$L$35,1))</f>
        <v/>
      </c>
      <c r="S24" s="19">
        <f>IF($L24="","제5호 - 미실시",IF($R24=$H24,"보존","★불일치"))</f>
        <v/>
      </c>
      <c r="T24" s="20">
        <f>$E24&amp;"|"&amp;$C24</f>
        <v/>
      </c>
      <c r="U24" s="24">
        <f>IF($G24&lt;6,"",80+7*$K24/$I24)</f>
        <v/>
      </c>
      <c r="V24" s="24">
        <f>IF($N24="",$M24,$M24+$N24)</f>
        <v/>
      </c>
    </row>
    <row r="25">
      <c r="A25" s="19" t="inlineStr">
        <is>
          <t>평가군 3</t>
        </is>
      </c>
      <c r="B25" s="19" t="inlineStr">
        <is>
          <t>평가자 3</t>
        </is>
      </c>
      <c r="C25" s="19" t="inlineStr">
        <is>
          <t>1차</t>
        </is>
      </c>
      <c r="D25" s="19" t="inlineStr">
        <is>
          <t>5급</t>
        </is>
      </c>
      <c r="E25" s="19" t="inlineStr">
        <is>
          <t>직원20</t>
        </is>
      </c>
      <c r="F25" s="22" t="n">
        <v>78.5</v>
      </c>
      <c r="G25" s="19">
        <f>COUNTIF($A$6:$A$79,$A25)</f>
        <v/>
      </c>
      <c r="H25" s="19">
        <f>RANK.EQ($F25,$F$20:$F$35,1)</f>
        <v/>
      </c>
      <c r="I25" s="23">
        <f>INDEX('s(n) 표'!$AQ$5:$AQ$43,MATCH($G25,'s(n) 표'!$A$5:$A$43,0))</f>
        <v/>
      </c>
      <c r="J25" s="17">
        <f>($H25-0.375)/($G25+0.25)</f>
        <v/>
      </c>
      <c r="K25" s="17">
        <f>NORM.S.INV($J25)</f>
        <v/>
      </c>
      <c r="L25" s="24">
        <f>IF($G25&lt;6,"",ROUND(MEDIAN(60,80+7*$K25/$I25,100),3))</f>
        <v/>
      </c>
      <c r="M25" s="24">
        <f>IF($G25&gt;=6,$L25,IFERROR(IF(INDEX($L$6:$L$79,MATCH($E25&amp;"|2차",$T$6:$T$79,0))="",80,INDEX($L$6:$L$79,MATCH($E25&amp;"|2차",$T$6:$T$79,0))),80))</f>
        <v/>
      </c>
      <c r="N25" s="16" t="n">
        <v>0</v>
      </c>
      <c r="O25" s="24">
        <f>IF($N25="",$M25,ROUND(MEDIAN(60,$M25+$N25,100),3))</f>
        <v/>
      </c>
      <c r="P25" s="25" t="inlineStr"/>
      <c r="Q25" s="19">
        <f>IF(COUNTIFS($A$6:$A$79,$A25,$F$6:$F$79,$F25)&gt;1,"★동점","")</f>
        <v/>
      </c>
      <c r="R25" s="19">
        <f>IF($L25="","",RANK.EQ($L25,$L$20:$L$35,1))</f>
        <v/>
      </c>
      <c r="S25" s="19">
        <f>IF($L25="","제5호 - 미실시",IF($R25=$H25,"보존","★불일치"))</f>
        <v/>
      </c>
      <c r="T25" s="20">
        <f>$E25&amp;"|"&amp;$C25</f>
        <v/>
      </c>
      <c r="U25" s="24">
        <f>IF($G25&lt;6,"",80+7*$K25/$I25)</f>
        <v/>
      </c>
      <c r="V25" s="24">
        <f>IF($N25="",$M25,$M25+$N25)</f>
        <v/>
      </c>
    </row>
    <row r="26">
      <c r="A26" s="19" t="inlineStr">
        <is>
          <t>평가군 3</t>
        </is>
      </c>
      <c r="B26" s="19" t="inlineStr">
        <is>
          <t>평가자 3</t>
        </is>
      </c>
      <c r="C26" s="19" t="inlineStr">
        <is>
          <t>1차</t>
        </is>
      </c>
      <c r="D26" s="19" t="inlineStr">
        <is>
          <t>5급</t>
        </is>
      </c>
      <c r="E26" s="19" t="inlineStr">
        <is>
          <t>직원21</t>
        </is>
      </c>
      <c r="F26" s="22" t="n">
        <v>78.59999999999999</v>
      </c>
      <c r="G26" s="19">
        <f>COUNTIF($A$6:$A$79,$A26)</f>
        <v/>
      </c>
      <c r="H26" s="19">
        <f>RANK.EQ($F26,$F$20:$F$35,1)</f>
        <v/>
      </c>
      <c r="I26" s="23">
        <f>INDEX('s(n) 표'!$AQ$5:$AQ$43,MATCH($G26,'s(n) 표'!$A$5:$A$43,0))</f>
        <v/>
      </c>
      <c r="J26" s="17">
        <f>($H26-0.375)/($G26+0.25)</f>
        <v/>
      </c>
      <c r="K26" s="17">
        <f>NORM.S.INV($J26)</f>
        <v/>
      </c>
      <c r="L26" s="24">
        <f>IF($G26&lt;6,"",ROUND(MEDIAN(60,80+7*$K26/$I26,100),3))</f>
        <v/>
      </c>
      <c r="M26" s="24">
        <f>IF($G26&gt;=6,$L26,IFERROR(IF(INDEX($L$6:$L$79,MATCH($E26&amp;"|2차",$T$6:$T$79,0))="",80,INDEX($L$6:$L$79,MATCH($E26&amp;"|2차",$T$6:$T$79,0))),80))</f>
        <v/>
      </c>
      <c r="N26" s="16" t="n">
        <v>0</v>
      </c>
      <c r="O26" s="24">
        <f>IF($N26="",$M26,ROUND(MEDIAN(60,$M26+$N26,100),3))</f>
        <v/>
      </c>
      <c r="P26" s="25" t="inlineStr"/>
      <c r="Q26" s="19">
        <f>IF(COUNTIFS($A$6:$A$79,$A26,$F$6:$F$79,$F26)&gt;1,"★동점","")</f>
        <v/>
      </c>
      <c r="R26" s="19">
        <f>IF($L26="","",RANK.EQ($L26,$L$20:$L$35,1))</f>
        <v/>
      </c>
      <c r="S26" s="19">
        <f>IF($L26="","제5호 - 미실시",IF($R26=$H26,"보존","★불일치"))</f>
        <v/>
      </c>
      <c r="T26" s="20">
        <f>$E26&amp;"|"&amp;$C26</f>
        <v/>
      </c>
      <c r="U26" s="24">
        <f>IF($G26&lt;6,"",80+7*$K26/$I26)</f>
        <v/>
      </c>
      <c r="V26" s="24">
        <f>IF($N26="",$M26,$M26+$N26)</f>
        <v/>
      </c>
    </row>
    <row r="27">
      <c r="A27" s="19" t="inlineStr">
        <is>
          <t>평가군 3</t>
        </is>
      </c>
      <c r="B27" s="19" t="inlineStr">
        <is>
          <t>평가자 3</t>
        </is>
      </c>
      <c r="C27" s="19" t="inlineStr">
        <is>
          <t>1차</t>
        </is>
      </c>
      <c r="D27" s="19" t="inlineStr">
        <is>
          <t>5급</t>
        </is>
      </c>
      <c r="E27" s="19" t="inlineStr">
        <is>
          <t>직원22</t>
        </is>
      </c>
      <c r="F27" s="22" t="n">
        <v>78.7</v>
      </c>
      <c r="G27" s="19">
        <f>COUNTIF($A$6:$A$79,$A27)</f>
        <v/>
      </c>
      <c r="H27" s="19">
        <f>RANK.EQ($F27,$F$20:$F$35,1)</f>
        <v/>
      </c>
      <c r="I27" s="23">
        <f>INDEX('s(n) 표'!$AQ$5:$AQ$43,MATCH($G27,'s(n) 표'!$A$5:$A$43,0))</f>
        <v/>
      </c>
      <c r="J27" s="17">
        <f>($H27-0.375)/($G27+0.25)</f>
        <v/>
      </c>
      <c r="K27" s="17">
        <f>NORM.S.INV($J27)</f>
        <v/>
      </c>
      <c r="L27" s="24">
        <f>IF($G27&lt;6,"",ROUND(MEDIAN(60,80+7*$K27/$I27,100),3))</f>
        <v/>
      </c>
      <c r="M27" s="24">
        <f>IF($G27&gt;=6,$L27,IFERROR(IF(INDEX($L$6:$L$79,MATCH($E27&amp;"|2차",$T$6:$T$79,0))="",80,INDEX($L$6:$L$79,MATCH($E27&amp;"|2차",$T$6:$T$79,0))),80))</f>
        <v/>
      </c>
      <c r="N27" s="16" t="n">
        <v>0</v>
      </c>
      <c r="O27" s="24">
        <f>IF($N27="",$M27,ROUND(MEDIAN(60,$M27+$N27,100),3))</f>
        <v/>
      </c>
      <c r="P27" s="25" t="inlineStr"/>
      <c r="Q27" s="19">
        <f>IF(COUNTIFS($A$6:$A$79,$A27,$F$6:$F$79,$F27)&gt;1,"★동점","")</f>
        <v/>
      </c>
      <c r="R27" s="19">
        <f>IF($L27="","",RANK.EQ($L27,$L$20:$L$35,1))</f>
        <v/>
      </c>
      <c r="S27" s="19">
        <f>IF($L27="","제5호 - 미실시",IF($R27=$H27,"보존","★불일치"))</f>
        <v/>
      </c>
      <c r="T27" s="20">
        <f>$E27&amp;"|"&amp;$C27</f>
        <v/>
      </c>
      <c r="U27" s="24">
        <f>IF($G27&lt;6,"",80+7*$K27/$I27)</f>
        <v/>
      </c>
      <c r="V27" s="24">
        <f>IF($N27="",$M27,$M27+$N27)</f>
        <v/>
      </c>
    </row>
    <row r="28">
      <c r="A28" s="19" t="inlineStr">
        <is>
          <t>평가군 3</t>
        </is>
      </c>
      <c r="B28" s="19" t="inlineStr">
        <is>
          <t>평가자 3</t>
        </is>
      </c>
      <c r="C28" s="19" t="inlineStr">
        <is>
          <t>1차</t>
        </is>
      </c>
      <c r="D28" s="19" t="inlineStr">
        <is>
          <t>5급</t>
        </is>
      </c>
      <c r="E28" s="19" t="inlineStr">
        <is>
          <t>직원23</t>
        </is>
      </c>
      <c r="F28" s="22" t="n">
        <v>78.8</v>
      </c>
      <c r="G28" s="19">
        <f>COUNTIF($A$6:$A$79,$A28)</f>
        <v/>
      </c>
      <c r="H28" s="19">
        <f>RANK.EQ($F28,$F$20:$F$35,1)</f>
        <v/>
      </c>
      <c r="I28" s="23">
        <f>INDEX('s(n) 표'!$AQ$5:$AQ$43,MATCH($G28,'s(n) 표'!$A$5:$A$43,0))</f>
        <v/>
      </c>
      <c r="J28" s="17">
        <f>($H28-0.375)/($G28+0.25)</f>
        <v/>
      </c>
      <c r="K28" s="17">
        <f>NORM.S.INV($J28)</f>
        <v/>
      </c>
      <c r="L28" s="24">
        <f>IF($G28&lt;6,"",ROUND(MEDIAN(60,80+7*$K28/$I28,100),3))</f>
        <v/>
      </c>
      <c r="M28" s="24">
        <f>IF($G28&gt;=6,$L28,IFERROR(IF(INDEX($L$6:$L$79,MATCH($E28&amp;"|2차",$T$6:$T$79,0))="",80,INDEX($L$6:$L$79,MATCH($E28&amp;"|2차",$T$6:$T$79,0))),80))</f>
        <v/>
      </c>
      <c r="N28" s="16" t="n">
        <v>0</v>
      </c>
      <c r="O28" s="24">
        <f>IF($N28="",$M28,ROUND(MEDIAN(60,$M28+$N28,100),3))</f>
        <v/>
      </c>
      <c r="P28" s="25" t="inlineStr"/>
      <c r="Q28" s="19">
        <f>IF(COUNTIFS($A$6:$A$79,$A28,$F$6:$F$79,$F28)&gt;1,"★동점","")</f>
        <v/>
      </c>
      <c r="R28" s="19">
        <f>IF($L28="","",RANK.EQ($L28,$L$20:$L$35,1))</f>
        <v/>
      </c>
      <c r="S28" s="19">
        <f>IF($L28="","제5호 - 미실시",IF($R28=$H28,"보존","★불일치"))</f>
        <v/>
      </c>
      <c r="T28" s="20">
        <f>$E28&amp;"|"&amp;$C28</f>
        <v/>
      </c>
      <c r="U28" s="24">
        <f>IF($G28&lt;6,"",80+7*$K28/$I28)</f>
        <v/>
      </c>
      <c r="V28" s="24">
        <f>IF($N28="",$M28,$M28+$N28)</f>
        <v/>
      </c>
    </row>
    <row r="29">
      <c r="A29" s="19" t="inlineStr">
        <is>
          <t>평가군 3</t>
        </is>
      </c>
      <c r="B29" s="19" t="inlineStr">
        <is>
          <t>평가자 3</t>
        </is>
      </c>
      <c r="C29" s="19" t="inlineStr">
        <is>
          <t>1차</t>
        </is>
      </c>
      <c r="D29" s="19" t="inlineStr">
        <is>
          <t>5급</t>
        </is>
      </c>
      <c r="E29" s="19" t="inlineStr">
        <is>
          <t>직원24</t>
        </is>
      </c>
      <c r="F29" s="22" t="n">
        <v>78.90000000000001</v>
      </c>
      <c r="G29" s="19">
        <f>COUNTIF($A$6:$A$79,$A29)</f>
        <v/>
      </c>
      <c r="H29" s="19">
        <f>RANK.EQ($F29,$F$20:$F$35,1)</f>
        <v/>
      </c>
      <c r="I29" s="23">
        <f>INDEX('s(n) 표'!$AQ$5:$AQ$43,MATCH($G29,'s(n) 표'!$A$5:$A$43,0))</f>
        <v/>
      </c>
      <c r="J29" s="17">
        <f>($H29-0.375)/($G29+0.25)</f>
        <v/>
      </c>
      <c r="K29" s="17">
        <f>NORM.S.INV($J29)</f>
        <v/>
      </c>
      <c r="L29" s="24">
        <f>IF($G29&lt;6,"",ROUND(MEDIAN(60,80+7*$K29/$I29,100),3))</f>
        <v/>
      </c>
      <c r="M29" s="24">
        <f>IF($G29&gt;=6,$L29,IFERROR(IF(INDEX($L$6:$L$79,MATCH($E29&amp;"|2차",$T$6:$T$79,0))="",80,INDEX($L$6:$L$79,MATCH($E29&amp;"|2차",$T$6:$T$79,0))),80))</f>
        <v/>
      </c>
      <c r="N29" s="16" t="n">
        <v>0</v>
      </c>
      <c r="O29" s="24">
        <f>IF($N29="",$M29,ROUND(MEDIAN(60,$M29+$N29,100),3))</f>
        <v/>
      </c>
      <c r="P29" s="25" t="inlineStr"/>
      <c r="Q29" s="19">
        <f>IF(COUNTIFS($A$6:$A$79,$A29,$F$6:$F$79,$F29)&gt;1,"★동점","")</f>
        <v/>
      </c>
      <c r="R29" s="19">
        <f>IF($L29="","",RANK.EQ($L29,$L$20:$L$35,1))</f>
        <v/>
      </c>
      <c r="S29" s="19">
        <f>IF($L29="","제5호 - 미실시",IF($R29=$H29,"보존","★불일치"))</f>
        <v/>
      </c>
      <c r="T29" s="20">
        <f>$E29&amp;"|"&amp;$C29</f>
        <v/>
      </c>
      <c r="U29" s="24">
        <f>IF($G29&lt;6,"",80+7*$K29/$I29)</f>
        <v/>
      </c>
      <c r="V29" s="24">
        <f>IF($N29="",$M29,$M29+$N29)</f>
        <v/>
      </c>
    </row>
    <row r="30">
      <c r="A30" s="19" t="inlineStr">
        <is>
          <t>평가군 3</t>
        </is>
      </c>
      <c r="B30" s="19" t="inlineStr">
        <is>
          <t>평가자 3</t>
        </is>
      </c>
      <c r="C30" s="19" t="inlineStr">
        <is>
          <t>1차</t>
        </is>
      </c>
      <c r="D30" s="19" t="inlineStr">
        <is>
          <t>5급</t>
        </is>
      </c>
      <c r="E30" s="19" t="inlineStr">
        <is>
          <t>직원25</t>
        </is>
      </c>
      <c r="F30" s="22" t="n">
        <v>79</v>
      </c>
      <c r="G30" s="19">
        <f>COUNTIF($A$6:$A$79,$A30)</f>
        <v/>
      </c>
      <c r="H30" s="19">
        <f>RANK.EQ($F30,$F$20:$F$35,1)</f>
        <v/>
      </c>
      <c r="I30" s="23">
        <f>INDEX('s(n) 표'!$AQ$5:$AQ$43,MATCH($G30,'s(n) 표'!$A$5:$A$43,0))</f>
        <v/>
      </c>
      <c r="J30" s="17">
        <f>($H30-0.375)/($G30+0.25)</f>
        <v/>
      </c>
      <c r="K30" s="17">
        <f>NORM.S.INV($J30)</f>
        <v/>
      </c>
      <c r="L30" s="24">
        <f>IF($G30&lt;6,"",ROUND(MEDIAN(60,80+7*$K30/$I30,100),3))</f>
        <v/>
      </c>
      <c r="M30" s="24">
        <f>IF($G30&gt;=6,$L30,IFERROR(IF(INDEX($L$6:$L$79,MATCH($E30&amp;"|2차",$T$6:$T$79,0))="",80,INDEX($L$6:$L$79,MATCH($E30&amp;"|2차",$T$6:$T$79,0))),80))</f>
        <v/>
      </c>
      <c r="N30" s="16" t="n">
        <v>0</v>
      </c>
      <c r="O30" s="24">
        <f>IF($N30="",$M30,ROUND(MEDIAN(60,$M30+$N30,100),3))</f>
        <v/>
      </c>
      <c r="P30" s="25" t="inlineStr"/>
      <c r="Q30" s="19">
        <f>IF(COUNTIFS($A$6:$A$79,$A30,$F$6:$F$79,$F30)&gt;1,"★동점","")</f>
        <v/>
      </c>
      <c r="R30" s="19">
        <f>IF($L30="","",RANK.EQ($L30,$L$20:$L$35,1))</f>
        <v/>
      </c>
      <c r="S30" s="19">
        <f>IF($L30="","제5호 - 미실시",IF($R30=$H30,"보존","★불일치"))</f>
        <v/>
      </c>
      <c r="T30" s="20">
        <f>$E30&amp;"|"&amp;$C30</f>
        <v/>
      </c>
      <c r="U30" s="24">
        <f>IF($G30&lt;6,"",80+7*$K30/$I30)</f>
        <v/>
      </c>
      <c r="V30" s="24">
        <f>IF($N30="",$M30,$M30+$N30)</f>
        <v/>
      </c>
    </row>
    <row r="31">
      <c r="A31" s="19" t="inlineStr">
        <is>
          <t>평가군 3</t>
        </is>
      </c>
      <c r="B31" s="19" t="inlineStr">
        <is>
          <t>평가자 3</t>
        </is>
      </c>
      <c r="C31" s="19" t="inlineStr">
        <is>
          <t>1차</t>
        </is>
      </c>
      <c r="D31" s="19" t="inlineStr">
        <is>
          <t>5급</t>
        </is>
      </c>
      <c r="E31" s="19" t="inlineStr">
        <is>
          <t>직원26</t>
        </is>
      </c>
      <c r="F31" s="22" t="n">
        <v>79.09999999999999</v>
      </c>
      <c r="G31" s="19">
        <f>COUNTIF($A$6:$A$79,$A31)</f>
        <v/>
      </c>
      <c r="H31" s="19">
        <f>RANK.EQ($F31,$F$20:$F$35,1)</f>
        <v/>
      </c>
      <c r="I31" s="23">
        <f>INDEX('s(n) 표'!$AQ$5:$AQ$43,MATCH($G31,'s(n) 표'!$A$5:$A$43,0))</f>
        <v/>
      </c>
      <c r="J31" s="17">
        <f>($H31-0.375)/($G31+0.25)</f>
        <v/>
      </c>
      <c r="K31" s="17">
        <f>NORM.S.INV($J31)</f>
        <v/>
      </c>
      <c r="L31" s="24">
        <f>IF($G31&lt;6,"",ROUND(MEDIAN(60,80+7*$K31/$I31,100),3))</f>
        <v/>
      </c>
      <c r="M31" s="24">
        <f>IF($G31&gt;=6,$L31,IFERROR(IF(INDEX($L$6:$L$79,MATCH($E31&amp;"|2차",$T$6:$T$79,0))="",80,INDEX($L$6:$L$79,MATCH($E31&amp;"|2차",$T$6:$T$79,0))),80))</f>
        <v/>
      </c>
      <c r="N31" s="16" t="n">
        <v>0</v>
      </c>
      <c r="O31" s="24">
        <f>IF($N31="",$M31,ROUND(MEDIAN(60,$M31+$N31,100),3))</f>
        <v/>
      </c>
      <c r="P31" s="25" t="inlineStr"/>
      <c r="Q31" s="19">
        <f>IF(COUNTIFS($A$6:$A$79,$A31,$F$6:$F$79,$F31)&gt;1,"★동점","")</f>
        <v/>
      </c>
      <c r="R31" s="19">
        <f>IF($L31="","",RANK.EQ($L31,$L$20:$L$35,1))</f>
        <v/>
      </c>
      <c r="S31" s="19">
        <f>IF($L31="","제5호 - 미실시",IF($R31=$H31,"보존","★불일치"))</f>
        <v/>
      </c>
      <c r="T31" s="20">
        <f>$E31&amp;"|"&amp;$C31</f>
        <v/>
      </c>
      <c r="U31" s="24">
        <f>IF($G31&lt;6,"",80+7*$K31/$I31)</f>
        <v/>
      </c>
      <c r="V31" s="24">
        <f>IF($N31="",$M31,$M31+$N31)</f>
        <v/>
      </c>
    </row>
    <row r="32">
      <c r="A32" s="19" t="inlineStr">
        <is>
          <t>평가군 3</t>
        </is>
      </c>
      <c r="B32" s="19" t="inlineStr">
        <is>
          <t>평가자 3</t>
        </is>
      </c>
      <c r="C32" s="19" t="inlineStr">
        <is>
          <t>1차</t>
        </is>
      </c>
      <c r="D32" s="19" t="inlineStr">
        <is>
          <t>5급</t>
        </is>
      </c>
      <c r="E32" s="19" t="inlineStr">
        <is>
          <t>직원27</t>
        </is>
      </c>
      <c r="F32" s="22" t="n">
        <v>79.2</v>
      </c>
      <c r="G32" s="19">
        <f>COUNTIF($A$6:$A$79,$A32)</f>
        <v/>
      </c>
      <c r="H32" s="19">
        <f>RANK.EQ($F32,$F$20:$F$35,1)</f>
        <v/>
      </c>
      <c r="I32" s="23">
        <f>INDEX('s(n) 표'!$AQ$5:$AQ$43,MATCH($G32,'s(n) 표'!$A$5:$A$43,0))</f>
        <v/>
      </c>
      <c r="J32" s="17">
        <f>($H32-0.375)/($G32+0.25)</f>
        <v/>
      </c>
      <c r="K32" s="17">
        <f>NORM.S.INV($J32)</f>
        <v/>
      </c>
      <c r="L32" s="24">
        <f>IF($G32&lt;6,"",ROUND(MEDIAN(60,80+7*$K32/$I32,100),3))</f>
        <v/>
      </c>
      <c r="M32" s="24">
        <f>IF($G32&gt;=6,$L32,IFERROR(IF(INDEX($L$6:$L$79,MATCH($E32&amp;"|2차",$T$6:$T$79,0))="",80,INDEX($L$6:$L$79,MATCH($E32&amp;"|2차",$T$6:$T$79,0))),80))</f>
        <v/>
      </c>
      <c r="N32" s="16" t="n">
        <v>0</v>
      </c>
      <c r="O32" s="24">
        <f>IF($N32="",$M32,ROUND(MEDIAN(60,$M32+$N32,100),3))</f>
        <v/>
      </c>
      <c r="P32" s="25" t="inlineStr"/>
      <c r="Q32" s="19">
        <f>IF(COUNTIFS($A$6:$A$79,$A32,$F$6:$F$79,$F32)&gt;1,"★동점","")</f>
        <v/>
      </c>
      <c r="R32" s="19">
        <f>IF($L32="","",RANK.EQ($L32,$L$20:$L$35,1))</f>
        <v/>
      </c>
      <c r="S32" s="19">
        <f>IF($L32="","제5호 - 미실시",IF($R32=$H32,"보존","★불일치"))</f>
        <v/>
      </c>
      <c r="T32" s="20">
        <f>$E32&amp;"|"&amp;$C32</f>
        <v/>
      </c>
      <c r="U32" s="24">
        <f>IF($G32&lt;6,"",80+7*$K32/$I32)</f>
        <v/>
      </c>
      <c r="V32" s="24">
        <f>IF($N32="",$M32,$M32+$N32)</f>
        <v/>
      </c>
    </row>
    <row r="33">
      <c r="A33" s="19" t="inlineStr">
        <is>
          <t>평가군 3</t>
        </is>
      </c>
      <c r="B33" s="19" t="inlineStr">
        <is>
          <t>평가자 3</t>
        </is>
      </c>
      <c r="C33" s="19" t="inlineStr">
        <is>
          <t>1차</t>
        </is>
      </c>
      <c r="D33" s="19" t="inlineStr">
        <is>
          <t>5급</t>
        </is>
      </c>
      <c r="E33" s="19" t="inlineStr">
        <is>
          <t>직원28</t>
        </is>
      </c>
      <c r="F33" s="22" t="n">
        <v>79.3</v>
      </c>
      <c r="G33" s="19">
        <f>COUNTIF($A$6:$A$79,$A33)</f>
        <v/>
      </c>
      <c r="H33" s="19">
        <f>RANK.EQ($F33,$F$20:$F$35,1)</f>
        <v/>
      </c>
      <c r="I33" s="23">
        <f>INDEX('s(n) 표'!$AQ$5:$AQ$43,MATCH($G33,'s(n) 표'!$A$5:$A$43,0))</f>
        <v/>
      </c>
      <c r="J33" s="17">
        <f>($H33-0.375)/($G33+0.25)</f>
        <v/>
      </c>
      <c r="K33" s="17">
        <f>NORM.S.INV($J33)</f>
        <v/>
      </c>
      <c r="L33" s="24">
        <f>IF($G33&lt;6,"",ROUND(MEDIAN(60,80+7*$K33/$I33,100),3))</f>
        <v/>
      </c>
      <c r="M33" s="24">
        <f>IF($G33&gt;=6,$L33,IFERROR(IF(INDEX($L$6:$L$79,MATCH($E33&amp;"|2차",$T$6:$T$79,0))="",80,INDEX($L$6:$L$79,MATCH($E33&amp;"|2차",$T$6:$T$79,0))),80))</f>
        <v/>
      </c>
      <c r="N33" s="16" t="n">
        <v>0</v>
      </c>
      <c r="O33" s="24">
        <f>IF($N33="",$M33,ROUND(MEDIAN(60,$M33+$N33,100),3))</f>
        <v/>
      </c>
      <c r="P33" s="25" t="inlineStr"/>
      <c r="Q33" s="19">
        <f>IF(COUNTIFS($A$6:$A$79,$A33,$F$6:$F$79,$F33)&gt;1,"★동점","")</f>
        <v/>
      </c>
      <c r="R33" s="19">
        <f>IF($L33="","",RANK.EQ($L33,$L$20:$L$35,1))</f>
        <v/>
      </c>
      <c r="S33" s="19">
        <f>IF($L33="","제5호 - 미실시",IF($R33=$H33,"보존","★불일치"))</f>
        <v/>
      </c>
      <c r="T33" s="20">
        <f>$E33&amp;"|"&amp;$C33</f>
        <v/>
      </c>
      <c r="U33" s="24">
        <f>IF($G33&lt;6,"",80+7*$K33/$I33)</f>
        <v/>
      </c>
      <c r="V33" s="24">
        <f>IF($N33="",$M33,$M33+$N33)</f>
        <v/>
      </c>
    </row>
    <row r="34">
      <c r="A34" s="19" t="inlineStr">
        <is>
          <t>평가군 3</t>
        </is>
      </c>
      <c r="B34" s="19" t="inlineStr">
        <is>
          <t>평가자 3</t>
        </is>
      </c>
      <c r="C34" s="19" t="inlineStr">
        <is>
          <t>1차</t>
        </is>
      </c>
      <c r="D34" s="19" t="inlineStr">
        <is>
          <t>5급</t>
        </is>
      </c>
      <c r="E34" s="19" t="inlineStr">
        <is>
          <t>직원29</t>
        </is>
      </c>
      <c r="F34" s="22" t="n">
        <v>79.40000000000001</v>
      </c>
      <c r="G34" s="19">
        <f>COUNTIF($A$6:$A$79,$A34)</f>
        <v/>
      </c>
      <c r="H34" s="19">
        <f>RANK.EQ($F34,$F$20:$F$35,1)</f>
        <v/>
      </c>
      <c r="I34" s="23">
        <f>INDEX('s(n) 표'!$AQ$5:$AQ$43,MATCH($G34,'s(n) 표'!$A$5:$A$43,0))</f>
        <v/>
      </c>
      <c r="J34" s="17">
        <f>($H34-0.375)/($G34+0.25)</f>
        <v/>
      </c>
      <c r="K34" s="17">
        <f>NORM.S.INV($J34)</f>
        <v/>
      </c>
      <c r="L34" s="24">
        <f>IF($G34&lt;6,"",ROUND(MEDIAN(60,80+7*$K34/$I34,100),3))</f>
        <v/>
      </c>
      <c r="M34" s="24">
        <f>IF($G34&gt;=6,$L34,IFERROR(IF(INDEX($L$6:$L$79,MATCH($E34&amp;"|2차",$T$6:$T$79,0))="",80,INDEX($L$6:$L$79,MATCH($E34&amp;"|2차",$T$6:$T$79,0))),80))</f>
        <v/>
      </c>
      <c r="N34" s="16" t="n">
        <v>0</v>
      </c>
      <c r="O34" s="24">
        <f>IF($N34="",$M34,ROUND(MEDIAN(60,$M34+$N34,100),3))</f>
        <v/>
      </c>
      <c r="P34" s="25" t="inlineStr"/>
      <c r="Q34" s="19">
        <f>IF(COUNTIFS($A$6:$A$79,$A34,$F$6:$F$79,$F34)&gt;1,"★동점","")</f>
        <v/>
      </c>
      <c r="R34" s="19">
        <f>IF($L34="","",RANK.EQ($L34,$L$20:$L$35,1))</f>
        <v/>
      </c>
      <c r="S34" s="19">
        <f>IF($L34="","제5호 - 미실시",IF($R34=$H34,"보존","★불일치"))</f>
        <v/>
      </c>
      <c r="T34" s="20">
        <f>$E34&amp;"|"&amp;$C34</f>
        <v/>
      </c>
      <c r="U34" s="24">
        <f>IF($G34&lt;6,"",80+7*$K34/$I34)</f>
        <v/>
      </c>
      <c r="V34" s="24">
        <f>IF($N34="",$M34,$M34+$N34)</f>
        <v/>
      </c>
    </row>
    <row r="35">
      <c r="A35" s="19" t="inlineStr">
        <is>
          <t>평가군 3</t>
        </is>
      </c>
      <c r="B35" s="19" t="inlineStr">
        <is>
          <t>평가자 3</t>
        </is>
      </c>
      <c r="C35" s="19" t="inlineStr">
        <is>
          <t>1차</t>
        </is>
      </c>
      <c r="D35" s="19" t="inlineStr">
        <is>
          <t>5급</t>
        </is>
      </c>
      <c r="E35" s="19" t="inlineStr">
        <is>
          <t>직원30</t>
        </is>
      </c>
      <c r="F35" s="22" t="n">
        <v>79.5</v>
      </c>
      <c r="G35" s="19">
        <f>COUNTIF($A$6:$A$79,$A35)</f>
        <v/>
      </c>
      <c r="H35" s="19">
        <f>RANK.EQ($F35,$F$20:$F$35,1)</f>
        <v/>
      </c>
      <c r="I35" s="23">
        <f>INDEX('s(n) 표'!$AQ$5:$AQ$43,MATCH($G35,'s(n) 표'!$A$5:$A$43,0))</f>
        <v/>
      </c>
      <c r="J35" s="17">
        <f>($H35-0.375)/($G35+0.25)</f>
        <v/>
      </c>
      <c r="K35" s="17">
        <f>NORM.S.INV($J35)</f>
        <v/>
      </c>
      <c r="L35" s="24">
        <f>IF($G35&lt;6,"",ROUND(MEDIAN(60,80+7*$K35/$I35,100),3))</f>
        <v/>
      </c>
      <c r="M35" s="24">
        <f>IF($G35&gt;=6,$L35,IFERROR(IF(INDEX($L$6:$L$79,MATCH($E35&amp;"|2차",$T$6:$T$79,0))="",80,INDEX($L$6:$L$79,MATCH($E35&amp;"|2차",$T$6:$T$79,0))),80))</f>
        <v/>
      </c>
      <c r="N35" s="16" t="n">
        <v>0</v>
      </c>
      <c r="O35" s="24">
        <f>IF($N35="",$M35,ROUND(MEDIAN(60,$M35+$N35,100),3))</f>
        <v/>
      </c>
      <c r="P35" s="25" t="inlineStr"/>
      <c r="Q35" s="19">
        <f>IF(COUNTIFS($A$6:$A$79,$A35,$F$6:$F$79,$F35)&gt;1,"★동점","")</f>
        <v/>
      </c>
      <c r="R35" s="19">
        <f>IF($L35="","",RANK.EQ($L35,$L$20:$L$35,1))</f>
        <v/>
      </c>
      <c r="S35" s="19">
        <f>IF($L35="","제5호 - 미실시",IF($R35=$H35,"보존","★불일치"))</f>
        <v/>
      </c>
      <c r="T35" s="20">
        <f>$E35&amp;"|"&amp;$C35</f>
        <v/>
      </c>
      <c r="U35" s="24">
        <f>IF($G35&lt;6,"",80+7*$K35/$I35)</f>
        <v/>
      </c>
      <c r="V35" s="24">
        <f>IF($N35="",$M35,$M35+$N35)</f>
        <v/>
      </c>
    </row>
    <row r="36">
      <c r="A36" s="19" t="inlineStr">
        <is>
          <t>평가군 4</t>
        </is>
      </c>
      <c r="B36" s="19" t="inlineStr">
        <is>
          <t>평가자 4</t>
        </is>
      </c>
      <c r="C36" s="19" t="inlineStr">
        <is>
          <t>2차</t>
        </is>
      </c>
      <c r="D36" s="19" t="inlineStr">
        <is>
          <t>5급</t>
        </is>
      </c>
      <c r="E36" s="19" t="inlineStr">
        <is>
          <t>직원01</t>
        </is>
      </c>
      <c r="F36" s="22" t="n">
        <v>96</v>
      </c>
      <c r="G36" s="19">
        <f>COUNTIF($A$6:$A$79,$A36)</f>
        <v/>
      </c>
      <c r="H36" s="19">
        <f>RANK.EQ($F36,$F$36:$F$65,1)</f>
        <v/>
      </c>
      <c r="I36" s="23">
        <f>INDEX('s(n) 표'!$AQ$5:$AQ$43,MATCH($G36,'s(n) 표'!$A$5:$A$43,0))</f>
        <v/>
      </c>
      <c r="J36" s="17">
        <f>($H36-0.375)/($G36+0.25)</f>
        <v/>
      </c>
      <c r="K36" s="17">
        <f>NORM.S.INV($J36)</f>
        <v/>
      </c>
      <c r="L36" s="24">
        <f>IF($G36&lt;6,"",ROUND(MEDIAN(60,80+7*$K36/$I36,100),3))</f>
        <v/>
      </c>
      <c r="M36" s="24">
        <f>IF($G36&gt;=6,$L36,IFERROR(IF(INDEX($L$6:$L$79,MATCH($E36&amp;"|2차",$T$6:$T$79,0))="",80,INDEX($L$6:$L$79,MATCH($E36&amp;"|2차",$T$6:$T$79,0))),80))</f>
        <v/>
      </c>
      <c r="N36" s="19" t="n">
        <v>0</v>
      </c>
      <c r="O36" s="24">
        <f>IF($N36="",$M36,ROUND(MEDIAN(60,$M36+$N36,100),3))</f>
        <v/>
      </c>
      <c r="P36" s="20" t="inlineStr">
        <is>
          <t>해당 없음 (제7호 조정은 1차 평가자만)</t>
        </is>
      </c>
      <c r="Q36" s="19">
        <f>IF(COUNTIFS($A$6:$A$79,$A36,$F$6:$F$79,$F36)&gt;1,"★동점","")</f>
        <v/>
      </c>
      <c r="R36" s="19">
        <f>IF($L36="","",RANK.EQ($L36,$L$36:$L$65,1))</f>
        <v/>
      </c>
      <c r="S36" s="19">
        <f>IF($L36="","제5호 - 미실시",IF($R36=$H36,"보존","★불일치"))</f>
        <v/>
      </c>
      <c r="T36" s="20">
        <f>$E36&amp;"|"&amp;$C36</f>
        <v/>
      </c>
      <c r="U36" s="24">
        <f>IF($G36&lt;6,"",80+7*$K36/$I36)</f>
        <v/>
      </c>
      <c r="V36" s="24">
        <f>IF($N36="",$M36,$M36+$N36)</f>
        <v/>
      </c>
    </row>
    <row r="37">
      <c r="A37" s="19" t="inlineStr">
        <is>
          <t>평가군 4</t>
        </is>
      </c>
      <c r="B37" s="19" t="inlineStr">
        <is>
          <t>평가자 4</t>
        </is>
      </c>
      <c r="C37" s="19" t="inlineStr">
        <is>
          <t>2차</t>
        </is>
      </c>
      <c r="D37" s="19" t="inlineStr">
        <is>
          <t>5급</t>
        </is>
      </c>
      <c r="E37" s="19" t="inlineStr">
        <is>
          <t>직원02</t>
        </is>
      </c>
      <c r="F37" s="22" t="n">
        <v>91</v>
      </c>
      <c r="G37" s="19">
        <f>COUNTIF($A$6:$A$79,$A37)</f>
        <v/>
      </c>
      <c r="H37" s="19">
        <f>RANK.EQ($F37,$F$36:$F$65,1)</f>
        <v/>
      </c>
      <c r="I37" s="23">
        <f>INDEX('s(n) 표'!$AQ$5:$AQ$43,MATCH($G37,'s(n) 표'!$A$5:$A$43,0))</f>
        <v/>
      </c>
      <c r="J37" s="17">
        <f>($H37-0.375)/($G37+0.25)</f>
        <v/>
      </c>
      <c r="K37" s="17">
        <f>NORM.S.INV($J37)</f>
        <v/>
      </c>
      <c r="L37" s="24">
        <f>IF($G37&lt;6,"",ROUND(MEDIAN(60,80+7*$K37/$I37,100),3))</f>
        <v/>
      </c>
      <c r="M37" s="24">
        <f>IF($G37&gt;=6,$L37,IFERROR(IF(INDEX($L$6:$L$79,MATCH($E37&amp;"|2차",$T$6:$T$79,0))="",80,INDEX($L$6:$L$79,MATCH($E37&amp;"|2차",$T$6:$T$79,0))),80))</f>
        <v/>
      </c>
      <c r="N37" s="19" t="n">
        <v>0</v>
      </c>
      <c r="O37" s="24">
        <f>IF($N37="",$M37,ROUND(MEDIAN(60,$M37+$N37,100),3))</f>
        <v/>
      </c>
      <c r="P37" s="20" t="inlineStr">
        <is>
          <t>해당 없음 (제7호 조정은 1차 평가자만)</t>
        </is>
      </c>
      <c r="Q37" s="19">
        <f>IF(COUNTIFS($A$6:$A$79,$A37,$F$6:$F$79,$F37)&gt;1,"★동점","")</f>
        <v/>
      </c>
      <c r="R37" s="19">
        <f>IF($L37="","",RANK.EQ($L37,$L$36:$L$65,1))</f>
        <v/>
      </c>
      <c r="S37" s="19">
        <f>IF($L37="","제5호 - 미실시",IF($R37=$H37,"보존","★불일치"))</f>
        <v/>
      </c>
      <c r="T37" s="20">
        <f>$E37&amp;"|"&amp;$C37</f>
        <v/>
      </c>
      <c r="U37" s="24">
        <f>IF($G37&lt;6,"",80+7*$K37/$I37)</f>
        <v/>
      </c>
      <c r="V37" s="24">
        <f>IF($N37="",$M37,$M37+$N37)</f>
        <v/>
      </c>
    </row>
    <row r="38">
      <c r="A38" s="19" t="inlineStr">
        <is>
          <t>평가군 4</t>
        </is>
      </c>
      <c r="B38" s="19" t="inlineStr">
        <is>
          <t>평가자 4</t>
        </is>
      </c>
      <c r="C38" s="19" t="inlineStr">
        <is>
          <t>2차</t>
        </is>
      </c>
      <c r="D38" s="19" t="inlineStr">
        <is>
          <t>5급</t>
        </is>
      </c>
      <c r="E38" s="19" t="inlineStr">
        <is>
          <t>직원03</t>
        </is>
      </c>
      <c r="F38" s="22" t="n">
        <v>94</v>
      </c>
      <c r="G38" s="19">
        <f>COUNTIF($A$6:$A$79,$A38)</f>
        <v/>
      </c>
      <c r="H38" s="19">
        <f>RANK.EQ($F38,$F$36:$F$65,1)</f>
        <v/>
      </c>
      <c r="I38" s="23">
        <f>INDEX('s(n) 표'!$AQ$5:$AQ$43,MATCH($G38,'s(n) 표'!$A$5:$A$43,0))</f>
        <v/>
      </c>
      <c r="J38" s="17">
        <f>($H38-0.375)/($G38+0.25)</f>
        <v/>
      </c>
      <c r="K38" s="17">
        <f>NORM.S.INV($J38)</f>
        <v/>
      </c>
      <c r="L38" s="24">
        <f>IF($G38&lt;6,"",ROUND(MEDIAN(60,80+7*$K38/$I38,100),3))</f>
        <v/>
      </c>
      <c r="M38" s="24">
        <f>IF($G38&gt;=6,$L38,IFERROR(IF(INDEX($L$6:$L$79,MATCH($E38&amp;"|2차",$T$6:$T$79,0))="",80,INDEX($L$6:$L$79,MATCH($E38&amp;"|2차",$T$6:$T$79,0))),80))</f>
        <v/>
      </c>
      <c r="N38" s="19" t="n">
        <v>0</v>
      </c>
      <c r="O38" s="24">
        <f>IF($N38="",$M38,ROUND(MEDIAN(60,$M38+$N38,100),3))</f>
        <v/>
      </c>
      <c r="P38" s="20" t="inlineStr">
        <is>
          <t>해당 없음 (제7호 조정은 1차 평가자만)</t>
        </is>
      </c>
      <c r="Q38" s="19">
        <f>IF(COUNTIFS($A$6:$A$79,$A38,$F$6:$F$79,$F38)&gt;1,"★동점","")</f>
        <v/>
      </c>
      <c r="R38" s="19">
        <f>IF($L38="","",RANK.EQ($L38,$L$36:$L$65,1))</f>
        <v/>
      </c>
      <c r="S38" s="19">
        <f>IF($L38="","제5호 - 미실시",IF($R38=$H38,"보존","★불일치"))</f>
        <v/>
      </c>
      <c r="T38" s="20">
        <f>$E38&amp;"|"&amp;$C38</f>
        <v/>
      </c>
      <c r="U38" s="24">
        <f>IF($G38&lt;6,"",80+7*$K38/$I38)</f>
        <v/>
      </c>
      <c r="V38" s="24">
        <f>IF($N38="",$M38,$M38+$N38)</f>
        <v/>
      </c>
    </row>
    <row r="39">
      <c r="A39" s="19" t="inlineStr">
        <is>
          <t>평가군 4</t>
        </is>
      </c>
      <c r="B39" s="19" t="inlineStr">
        <is>
          <t>평가자 4</t>
        </is>
      </c>
      <c r="C39" s="19" t="inlineStr">
        <is>
          <t>2차</t>
        </is>
      </c>
      <c r="D39" s="19" t="inlineStr">
        <is>
          <t>5급</t>
        </is>
      </c>
      <c r="E39" s="19" t="inlineStr">
        <is>
          <t>직원04</t>
        </is>
      </c>
      <c r="F39" s="22" t="n">
        <v>87</v>
      </c>
      <c r="G39" s="19">
        <f>COUNTIF($A$6:$A$79,$A39)</f>
        <v/>
      </c>
      <c r="H39" s="19">
        <f>RANK.EQ($F39,$F$36:$F$65,1)</f>
        <v/>
      </c>
      <c r="I39" s="23">
        <f>INDEX('s(n) 표'!$AQ$5:$AQ$43,MATCH($G39,'s(n) 표'!$A$5:$A$43,0))</f>
        <v/>
      </c>
      <c r="J39" s="17">
        <f>($H39-0.375)/($G39+0.25)</f>
        <v/>
      </c>
      <c r="K39" s="17">
        <f>NORM.S.INV($J39)</f>
        <v/>
      </c>
      <c r="L39" s="24">
        <f>IF($G39&lt;6,"",ROUND(MEDIAN(60,80+7*$K39/$I39,100),3))</f>
        <v/>
      </c>
      <c r="M39" s="24">
        <f>IF($G39&gt;=6,$L39,IFERROR(IF(INDEX($L$6:$L$79,MATCH($E39&amp;"|2차",$T$6:$T$79,0))="",80,INDEX($L$6:$L$79,MATCH($E39&amp;"|2차",$T$6:$T$79,0))),80))</f>
        <v/>
      </c>
      <c r="N39" s="19" t="n">
        <v>0</v>
      </c>
      <c r="O39" s="24">
        <f>IF($N39="",$M39,ROUND(MEDIAN(60,$M39+$N39,100),3))</f>
        <v/>
      </c>
      <c r="P39" s="20" t="inlineStr">
        <is>
          <t>해당 없음 (제7호 조정은 1차 평가자만)</t>
        </is>
      </c>
      <c r="Q39" s="19">
        <f>IF(COUNTIFS($A$6:$A$79,$A39,$F$6:$F$79,$F39)&gt;1,"★동점","")</f>
        <v/>
      </c>
      <c r="R39" s="19">
        <f>IF($L39="","",RANK.EQ($L39,$L$36:$L$65,1))</f>
        <v/>
      </c>
      <c r="S39" s="19">
        <f>IF($L39="","제5호 - 미실시",IF($R39=$H39,"보존","★불일치"))</f>
        <v/>
      </c>
      <c r="T39" s="20">
        <f>$E39&amp;"|"&amp;$C39</f>
        <v/>
      </c>
      <c r="U39" s="24">
        <f>IF($G39&lt;6,"",80+7*$K39/$I39)</f>
        <v/>
      </c>
      <c r="V39" s="24">
        <f>IF($N39="",$M39,$M39+$N39)</f>
        <v/>
      </c>
    </row>
    <row r="40">
      <c r="A40" s="19" t="inlineStr">
        <is>
          <t>평가군 4</t>
        </is>
      </c>
      <c r="B40" s="19" t="inlineStr">
        <is>
          <t>평가자 4</t>
        </is>
      </c>
      <c r="C40" s="19" t="inlineStr">
        <is>
          <t>2차</t>
        </is>
      </c>
      <c r="D40" s="19" t="inlineStr">
        <is>
          <t>5급</t>
        </is>
      </c>
      <c r="E40" s="19" t="inlineStr">
        <is>
          <t>직원05</t>
        </is>
      </c>
      <c r="F40" s="22" t="n">
        <v>82</v>
      </c>
      <c r="G40" s="19">
        <f>COUNTIF($A$6:$A$79,$A40)</f>
        <v/>
      </c>
      <c r="H40" s="19">
        <f>RANK.EQ($F40,$F$36:$F$65,1)</f>
        <v/>
      </c>
      <c r="I40" s="23">
        <f>INDEX('s(n) 표'!$AQ$5:$AQ$43,MATCH($G40,'s(n) 표'!$A$5:$A$43,0))</f>
        <v/>
      </c>
      <c r="J40" s="17">
        <f>($H40-0.375)/($G40+0.25)</f>
        <v/>
      </c>
      <c r="K40" s="17">
        <f>NORM.S.INV($J40)</f>
        <v/>
      </c>
      <c r="L40" s="24">
        <f>IF($G40&lt;6,"",ROUND(MEDIAN(60,80+7*$K40/$I40,100),3))</f>
        <v/>
      </c>
      <c r="M40" s="24">
        <f>IF($G40&gt;=6,$L40,IFERROR(IF(INDEX($L$6:$L$79,MATCH($E40&amp;"|2차",$T$6:$T$79,0))="",80,INDEX($L$6:$L$79,MATCH($E40&amp;"|2차",$T$6:$T$79,0))),80))</f>
        <v/>
      </c>
      <c r="N40" s="19" t="n">
        <v>0</v>
      </c>
      <c r="O40" s="24">
        <f>IF($N40="",$M40,ROUND(MEDIAN(60,$M40+$N40,100),3))</f>
        <v/>
      </c>
      <c r="P40" s="20" t="inlineStr">
        <is>
          <t>해당 없음 (제7호 조정은 1차 평가자만)</t>
        </is>
      </c>
      <c r="Q40" s="19">
        <f>IF(COUNTIFS($A$6:$A$79,$A40,$F$6:$F$79,$F40)&gt;1,"★동점","")</f>
        <v/>
      </c>
      <c r="R40" s="19">
        <f>IF($L40="","",RANK.EQ($L40,$L$36:$L$65,1))</f>
        <v/>
      </c>
      <c r="S40" s="19">
        <f>IF($L40="","제5호 - 미실시",IF($R40=$H40,"보존","★불일치"))</f>
        <v/>
      </c>
      <c r="T40" s="20">
        <f>$E40&amp;"|"&amp;$C40</f>
        <v/>
      </c>
      <c r="U40" s="24">
        <f>IF($G40&lt;6,"",80+7*$K40/$I40)</f>
        <v/>
      </c>
      <c r="V40" s="24">
        <f>IF($N40="",$M40,$M40+$N40)</f>
        <v/>
      </c>
    </row>
    <row r="41">
      <c r="A41" s="19" t="inlineStr">
        <is>
          <t>평가군 4</t>
        </is>
      </c>
      <c r="B41" s="19" t="inlineStr">
        <is>
          <t>평가자 4</t>
        </is>
      </c>
      <c r="C41" s="19" t="inlineStr">
        <is>
          <t>2차</t>
        </is>
      </c>
      <c r="D41" s="19" t="inlineStr">
        <is>
          <t>5급</t>
        </is>
      </c>
      <c r="E41" s="19" t="inlineStr">
        <is>
          <t>직원06</t>
        </is>
      </c>
      <c r="F41" s="22" t="n">
        <v>79</v>
      </c>
      <c r="G41" s="19">
        <f>COUNTIF($A$6:$A$79,$A41)</f>
        <v/>
      </c>
      <c r="H41" s="19">
        <f>RANK.EQ($F41,$F$36:$F$65,1)</f>
        <v/>
      </c>
      <c r="I41" s="23">
        <f>INDEX('s(n) 표'!$AQ$5:$AQ$43,MATCH($G41,'s(n) 표'!$A$5:$A$43,0))</f>
        <v/>
      </c>
      <c r="J41" s="17">
        <f>($H41-0.375)/($G41+0.25)</f>
        <v/>
      </c>
      <c r="K41" s="17">
        <f>NORM.S.INV($J41)</f>
        <v/>
      </c>
      <c r="L41" s="24">
        <f>IF($G41&lt;6,"",ROUND(MEDIAN(60,80+7*$K41/$I41,100),3))</f>
        <v/>
      </c>
      <c r="M41" s="24">
        <f>IF($G41&gt;=6,$L41,IFERROR(IF(INDEX($L$6:$L$79,MATCH($E41&amp;"|2차",$T$6:$T$79,0))="",80,INDEX($L$6:$L$79,MATCH($E41&amp;"|2차",$T$6:$T$79,0))),80))</f>
        <v/>
      </c>
      <c r="N41" s="19" t="n">
        <v>0</v>
      </c>
      <c r="O41" s="24">
        <f>IF($N41="",$M41,ROUND(MEDIAN(60,$M41+$N41,100),3))</f>
        <v/>
      </c>
      <c r="P41" s="20" t="inlineStr">
        <is>
          <t>해당 없음 (제7호 조정은 1차 평가자만)</t>
        </is>
      </c>
      <c r="Q41" s="19">
        <f>IF(COUNTIFS($A$6:$A$79,$A41,$F$6:$F$79,$F41)&gt;1,"★동점","")</f>
        <v/>
      </c>
      <c r="R41" s="19">
        <f>IF($L41="","",RANK.EQ($L41,$L$36:$L$65,1))</f>
        <v/>
      </c>
      <c r="S41" s="19">
        <f>IF($L41="","제5호 - 미실시",IF($R41=$H41,"보존","★불일치"))</f>
        <v/>
      </c>
      <c r="T41" s="20">
        <f>$E41&amp;"|"&amp;$C41</f>
        <v/>
      </c>
      <c r="U41" s="24">
        <f>IF($G41&lt;6,"",80+7*$K41/$I41)</f>
        <v/>
      </c>
      <c r="V41" s="24">
        <f>IF($N41="",$M41,$M41+$N41)</f>
        <v/>
      </c>
    </row>
    <row r="42">
      <c r="A42" s="19" t="inlineStr">
        <is>
          <t>평가군 4</t>
        </is>
      </c>
      <c r="B42" s="19" t="inlineStr">
        <is>
          <t>평가자 4</t>
        </is>
      </c>
      <c r="C42" s="19" t="inlineStr">
        <is>
          <t>2차</t>
        </is>
      </c>
      <c r="D42" s="19" t="inlineStr">
        <is>
          <t>5급</t>
        </is>
      </c>
      <c r="E42" s="19" t="inlineStr">
        <is>
          <t>직원07</t>
        </is>
      </c>
      <c r="F42" s="22" t="n">
        <v>74</v>
      </c>
      <c r="G42" s="19">
        <f>COUNTIF($A$6:$A$79,$A42)</f>
        <v/>
      </c>
      <c r="H42" s="19">
        <f>RANK.EQ($F42,$F$36:$F$65,1)</f>
        <v/>
      </c>
      <c r="I42" s="23">
        <f>INDEX('s(n) 표'!$AQ$5:$AQ$43,MATCH($G42,'s(n) 표'!$A$5:$A$43,0))</f>
        <v/>
      </c>
      <c r="J42" s="17">
        <f>($H42-0.375)/($G42+0.25)</f>
        <v/>
      </c>
      <c r="K42" s="17">
        <f>NORM.S.INV($J42)</f>
        <v/>
      </c>
      <c r="L42" s="24">
        <f>IF($G42&lt;6,"",ROUND(MEDIAN(60,80+7*$K42/$I42,100),3))</f>
        <v/>
      </c>
      <c r="M42" s="24">
        <f>IF($G42&gt;=6,$L42,IFERROR(IF(INDEX($L$6:$L$79,MATCH($E42&amp;"|2차",$T$6:$T$79,0))="",80,INDEX($L$6:$L$79,MATCH($E42&amp;"|2차",$T$6:$T$79,0))),80))</f>
        <v/>
      </c>
      <c r="N42" s="19" t="n">
        <v>0</v>
      </c>
      <c r="O42" s="24">
        <f>IF($N42="",$M42,ROUND(MEDIAN(60,$M42+$N42,100),3))</f>
        <v/>
      </c>
      <c r="P42" s="20" t="inlineStr">
        <is>
          <t>해당 없음 (제7호 조정은 1차 평가자만)</t>
        </is>
      </c>
      <c r="Q42" s="19">
        <f>IF(COUNTIFS($A$6:$A$79,$A42,$F$6:$F$79,$F42)&gt;1,"★동점","")</f>
        <v/>
      </c>
      <c r="R42" s="19">
        <f>IF($L42="","",RANK.EQ($L42,$L$36:$L$65,1))</f>
        <v/>
      </c>
      <c r="S42" s="19">
        <f>IF($L42="","제5호 - 미실시",IF($R42=$H42,"보존","★불일치"))</f>
        <v/>
      </c>
      <c r="T42" s="20">
        <f>$E42&amp;"|"&amp;$C42</f>
        <v/>
      </c>
      <c r="U42" s="24">
        <f>IF($G42&lt;6,"",80+7*$K42/$I42)</f>
        <v/>
      </c>
      <c r="V42" s="24">
        <f>IF($N42="",$M42,$M42+$N42)</f>
        <v/>
      </c>
    </row>
    <row r="43">
      <c r="A43" s="19" t="inlineStr">
        <is>
          <t>평가군 4</t>
        </is>
      </c>
      <c r="B43" s="19" t="inlineStr">
        <is>
          <t>평가자 4</t>
        </is>
      </c>
      <c r="C43" s="19" t="inlineStr">
        <is>
          <t>2차</t>
        </is>
      </c>
      <c r="D43" s="19" t="inlineStr">
        <is>
          <t>5급</t>
        </is>
      </c>
      <c r="E43" s="19" t="inlineStr">
        <is>
          <t>직원08</t>
        </is>
      </c>
      <c r="F43" s="22" t="n">
        <v>77</v>
      </c>
      <c r="G43" s="19">
        <f>COUNTIF($A$6:$A$79,$A43)</f>
        <v/>
      </c>
      <c r="H43" s="19">
        <f>RANK.EQ($F43,$F$36:$F$65,1)</f>
        <v/>
      </c>
      <c r="I43" s="23">
        <f>INDEX('s(n) 표'!$AQ$5:$AQ$43,MATCH($G43,'s(n) 표'!$A$5:$A$43,0))</f>
        <v/>
      </c>
      <c r="J43" s="17">
        <f>($H43-0.375)/($G43+0.25)</f>
        <v/>
      </c>
      <c r="K43" s="17">
        <f>NORM.S.INV($J43)</f>
        <v/>
      </c>
      <c r="L43" s="24">
        <f>IF($G43&lt;6,"",ROUND(MEDIAN(60,80+7*$K43/$I43,100),3))</f>
        <v/>
      </c>
      <c r="M43" s="24">
        <f>IF($G43&gt;=6,$L43,IFERROR(IF(INDEX($L$6:$L$79,MATCH($E43&amp;"|2차",$T$6:$T$79,0))="",80,INDEX($L$6:$L$79,MATCH($E43&amp;"|2차",$T$6:$T$79,0))),80))</f>
        <v/>
      </c>
      <c r="N43" s="19" t="n">
        <v>0</v>
      </c>
      <c r="O43" s="24">
        <f>IF($N43="",$M43,ROUND(MEDIAN(60,$M43+$N43,100),3))</f>
        <v/>
      </c>
      <c r="P43" s="20" t="inlineStr">
        <is>
          <t>해당 없음 (제7호 조정은 1차 평가자만)</t>
        </is>
      </c>
      <c r="Q43" s="19">
        <f>IF(COUNTIFS($A$6:$A$79,$A43,$F$6:$F$79,$F43)&gt;1,"★동점","")</f>
        <v/>
      </c>
      <c r="R43" s="19">
        <f>IF($L43="","",RANK.EQ($L43,$L$36:$L$65,1))</f>
        <v/>
      </c>
      <c r="S43" s="19">
        <f>IF($L43="","제5호 - 미실시",IF($R43=$H43,"보존","★불일치"))</f>
        <v/>
      </c>
      <c r="T43" s="20">
        <f>$E43&amp;"|"&amp;$C43</f>
        <v/>
      </c>
      <c r="U43" s="24">
        <f>IF($G43&lt;6,"",80+7*$K43/$I43)</f>
        <v/>
      </c>
      <c r="V43" s="24">
        <f>IF($N43="",$M43,$M43+$N43)</f>
        <v/>
      </c>
    </row>
    <row r="44">
      <c r="A44" s="19" t="inlineStr">
        <is>
          <t>평가군 4</t>
        </is>
      </c>
      <c r="B44" s="19" t="inlineStr">
        <is>
          <t>평가자 4</t>
        </is>
      </c>
      <c r="C44" s="19" t="inlineStr">
        <is>
          <t>2차</t>
        </is>
      </c>
      <c r="D44" s="19" t="inlineStr">
        <is>
          <t>5급</t>
        </is>
      </c>
      <c r="E44" s="19" t="inlineStr">
        <is>
          <t>직원09</t>
        </is>
      </c>
      <c r="F44" s="22" t="n">
        <v>68</v>
      </c>
      <c r="G44" s="19">
        <f>COUNTIF($A$6:$A$79,$A44)</f>
        <v/>
      </c>
      <c r="H44" s="19">
        <f>RANK.EQ($F44,$F$36:$F$65,1)</f>
        <v/>
      </c>
      <c r="I44" s="23">
        <f>INDEX('s(n) 표'!$AQ$5:$AQ$43,MATCH($G44,'s(n) 표'!$A$5:$A$43,0))</f>
        <v/>
      </c>
      <c r="J44" s="17">
        <f>($H44-0.375)/($G44+0.25)</f>
        <v/>
      </c>
      <c r="K44" s="17">
        <f>NORM.S.INV($J44)</f>
        <v/>
      </c>
      <c r="L44" s="24">
        <f>IF($G44&lt;6,"",ROUND(MEDIAN(60,80+7*$K44/$I44,100),3))</f>
        <v/>
      </c>
      <c r="M44" s="24">
        <f>IF($G44&gt;=6,$L44,IFERROR(IF(INDEX($L$6:$L$79,MATCH($E44&amp;"|2차",$T$6:$T$79,0))="",80,INDEX($L$6:$L$79,MATCH($E44&amp;"|2차",$T$6:$T$79,0))),80))</f>
        <v/>
      </c>
      <c r="N44" s="19" t="n">
        <v>0</v>
      </c>
      <c r="O44" s="24">
        <f>IF($N44="",$M44,ROUND(MEDIAN(60,$M44+$N44,100),3))</f>
        <v/>
      </c>
      <c r="P44" s="20" t="inlineStr">
        <is>
          <t>해당 없음 (제7호 조정은 1차 평가자만)</t>
        </is>
      </c>
      <c r="Q44" s="19">
        <f>IF(COUNTIFS($A$6:$A$79,$A44,$F$6:$F$79,$F44)&gt;1,"★동점","")</f>
        <v/>
      </c>
      <c r="R44" s="19">
        <f>IF($L44="","",RANK.EQ($L44,$L$36:$L$65,1))</f>
        <v/>
      </c>
      <c r="S44" s="19">
        <f>IF($L44="","제5호 - 미실시",IF($R44=$H44,"보존","★불일치"))</f>
        <v/>
      </c>
      <c r="T44" s="20">
        <f>$E44&amp;"|"&amp;$C44</f>
        <v/>
      </c>
      <c r="U44" s="24">
        <f>IF($G44&lt;6,"",80+7*$K44/$I44)</f>
        <v/>
      </c>
      <c r="V44" s="24">
        <f>IF($N44="",$M44,$M44+$N44)</f>
        <v/>
      </c>
    </row>
    <row r="45">
      <c r="A45" s="19" t="inlineStr">
        <is>
          <t>평가군 4</t>
        </is>
      </c>
      <c r="B45" s="19" t="inlineStr">
        <is>
          <t>평가자 4</t>
        </is>
      </c>
      <c r="C45" s="19" t="inlineStr">
        <is>
          <t>2차</t>
        </is>
      </c>
      <c r="D45" s="19" t="inlineStr">
        <is>
          <t>5급</t>
        </is>
      </c>
      <c r="E45" s="19" t="inlineStr">
        <is>
          <t>직원10</t>
        </is>
      </c>
      <c r="F45" s="22" t="n">
        <v>63</v>
      </c>
      <c r="G45" s="19">
        <f>COUNTIF($A$6:$A$79,$A45)</f>
        <v/>
      </c>
      <c r="H45" s="19">
        <f>RANK.EQ($F45,$F$36:$F$65,1)</f>
        <v/>
      </c>
      <c r="I45" s="23">
        <f>INDEX('s(n) 표'!$AQ$5:$AQ$43,MATCH($G45,'s(n) 표'!$A$5:$A$43,0))</f>
        <v/>
      </c>
      <c r="J45" s="17">
        <f>($H45-0.375)/($G45+0.25)</f>
        <v/>
      </c>
      <c r="K45" s="17">
        <f>NORM.S.INV($J45)</f>
        <v/>
      </c>
      <c r="L45" s="24">
        <f>IF($G45&lt;6,"",ROUND(MEDIAN(60,80+7*$K45/$I45,100),3))</f>
        <v/>
      </c>
      <c r="M45" s="24">
        <f>IF($G45&gt;=6,$L45,IFERROR(IF(INDEX($L$6:$L$79,MATCH($E45&amp;"|2차",$T$6:$T$79,0))="",80,INDEX($L$6:$L$79,MATCH($E45&amp;"|2차",$T$6:$T$79,0))),80))</f>
        <v/>
      </c>
      <c r="N45" s="19" t="n">
        <v>0</v>
      </c>
      <c r="O45" s="24">
        <f>IF($N45="",$M45,ROUND(MEDIAN(60,$M45+$N45,100),3))</f>
        <v/>
      </c>
      <c r="P45" s="20" t="inlineStr">
        <is>
          <t>해당 없음 (제7호 조정은 1차 평가자만)</t>
        </is>
      </c>
      <c r="Q45" s="19">
        <f>IF(COUNTIFS($A$6:$A$79,$A45,$F$6:$F$79,$F45)&gt;1,"★동점","")</f>
        <v/>
      </c>
      <c r="R45" s="19">
        <f>IF($L45="","",RANK.EQ($L45,$L$36:$L$65,1))</f>
        <v/>
      </c>
      <c r="S45" s="19">
        <f>IF($L45="","제5호 - 미실시",IF($R45=$H45,"보존","★불일치"))</f>
        <v/>
      </c>
      <c r="T45" s="20">
        <f>$E45&amp;"|"&amp;$C45</f>
        <v/>
      </c>
      <c r="U45" s="24">
        <f>IF($G45&lt;6,"",80+7*$K45/$I45)</f>
        <v/>
      </c>
      <c r="V45" s="24">
        <f>IF($N45="",$M45,$M45+$N45)</f>
        <v/>
      </c>
    </row>
    <row r="46">
      <c r="A46" s="19" t="inlineStr">
        <is>
          <t>평가군 4</t>
        </is>
      </c>
      <c r="B46" s="19" t="inlineStr">
        <is>
          <t>평가자 4</t>
        </is>
      </c>
      <c r="C46" s="19" t="inlineStr">
        <is>
          <t>2차</t>
        </is>
      </c>
      <c r="D46" s="19" t="inlineStr">
        <is>
          <t>5급</t>
        </is>
      </c>
      <c r="E46" s="19" t="inlineStr">
        <is>
          <t>직원11</t>
        </is>
      </c>
      <c r="F46" s="22" t="n">
        <v>93</v>
      </c>
      <c r="G46" s="19">
        <f>COUNTIF($A$6:$A$79,$A46)</f>
        <v/>
      </c>
      <c r="H46" s="19">
        <f>RANK.EQ($F46,$F$36:$F$65,1)</f>
        <v/>
      </c>
      <c r="I46" s="23">
        <f>INDEX('s(n) 표'!$AQ$5:$AQ$43,MATCH($G46,'s(n) 표'!$A$5:$A$43,0))</f>
        <v/>
      </c>
      <c r="J46" s="17">
        <f>($H46-0.375)/($G46+0.25)</f>
        <v/>
      </c>
      <c r="K46" s="17">
        <f>NORM.S.INV($J46)</f>
        <v/>
      </c>
      <c r="L46" s="24">
        <f>IF($G46&lt;6,"",ROUND(MEDIAN(60,80+7*$K46/$I46,100),3))</f>
        <v/>
      </c>
      <c r="M46" s="24">
        <f>IF($G46&gt;=6,$L46,IFERROR(IF(INDEX($L$6:$L$79,MATCH($E46&amp;"|2차",$T$6:$T$79,0))="",80,INDEX($L$6:$L$79,MATCH($E46&amp;"|2차",$T$6:$T$79,0))),80))</f>
        <v/>
      </c>
      <c r="N46" s="19" t="n">
        <v>0</v>
      </c>
      <c r="O46" s="24">
        <f>IF($N46="",$M46,ROUND(MEDIAN(60,$M46+$N46,100),3))</f>
        <v/>
      </c>
      <c r="P46" s="20" t="inlineStr">
        <is>
          <t>해당 없음 (제7호 조정은 1차 평가자만)</t>
        </is>
      </c>
      <c r="Q46" s="19">
        <f>IF(COUNTIFS($A$6:$A$79,$A46,$F$6:$F$79,$F46)&gt;1,"★동점","")</f>
        <v/>
      </c>
      <c r="R46" s="19">
        <f>IF($L46="","",RANK.EQ($L46,$L$36:$L$65,1))</f>
        <v/>
      </c>
      <c r="S46" s="19">
        <f>IF($L46="","제5호 - 미실시",IF($R46=$H46,"보존","★불일치"))</f>
        <v/>
      </c>
      <c r="T46" s="20">
        <f>$E46&amp;"|"&amp;$C46</f>
        <v/>
      </c>
      <c r="U46" s="24">
        <f>IF($G46&lt;6,"",80+7*$K46/$I46)</f>
        <v/>
      </c>
      <c r="V46" s="24">
        <f>IF($N46="",$M46,$M46+$N46)</f>
        <v/>
      </c>
    </row>
    <row r="47">
      <c r="A47" s="19" t="inlineStr">
        <is>
          <t>평가군 4</t>
        </is>
      </c>
      <c r="B47" s="19" t="inlineStr">
        <is>
          <t>평가자 4</t>
        </is>
      </c>
      <c r="C47" s="19" t="inlineStr">
        <is>
          <t>2차</t>
        </is>
      </c>
      <c r="D47" s="19" t="inlineStr">
        <is>
          <t>5급</t>
        </is>
      </c>
      <c r="E47" s="19" t="inlineStr">
        <is>
          <t>직원12</t>
        </is>
      </c>
      <c r="F47" s="22" t="n">
        <v>85</v>
      </c>
      <c r="G47" s="19">
        <f>COUNTIF($A$6:$A$79,$A47)</f>
        <v/>
      </c>
      <c r="H47" s="19">
        <f>RANK.EQ($F47,$F$36:$F$65,1)</f>
        <v/>
      </c>
      <c r="I47" s="23">
        <f>INDEX('s(n) 표'!$AQ$5:$AQ$43,MATCH($G47,'s(n) 표'!$A$5:$A$43,0))</f>
        <v/>
      </c>
      <c r="J47" s="17">
        <f>($H47-0.375)/($G47+0.25)</f>
        <v/>
      </c>
      <c r="K47" s="17">
        <f>NORM.S.INV($J47)</f>
        <v/>
      </c>
      <c r="L47" s="24">
        <f>IF($G47&lt;6,"",ROUND(MEDIAN(60,80+7*$K47/$I47,100),3))</f>
        <v/>
      </c>
      <c r="M47" s="24">
        <f>IF($G47&gt;=6,$L47,IFERROR(IF(INDEX($L$6:$L$79,MATCH($E47&amp;"|2차",$T$6:$T$79,0))="",80,INDEX($L$6:$L$79,MATCH($E47&amp;"|2차",$T$6:$T$79,0))),80))</f>
        <v/>
      </c>
      <c r="N47" s="19" t="n">
        <v>0</v>
      </c>
      <c r="O47" s="24">
        <f>IF($N47="",$M47,ROUND(MEDIAN(60,$M47+$N47,100),3))</f>
        <v/>
      </c>
      <c r="P47" s="20" t="inlineStr">
        <is>
          <t>해당 없음 (제7호 조정은 1차 평가자만)</t>
        </is>
      </c>
      <c r="Q47" s="19">
        <f>IF(COUNTIFS($A$6:$A$79,$A47,$F$6:$F$79,$F47)&gt;1,"★동점","")</f>
        <v/>
      </c>
      <c r="R47" s="19">
        <f>IF($L47="","",RANK.EQ($L47,$L$36:$L$65,1))</f>
        <v/>
      </c>
      <c r="S47" s="19">
        <f>IF($L47="","제5호 - 미실시",IF($R47=$H47,"보존","★불일치"))</f>
        <v/>
      </c>
      <c r="T47" s="20">
        <f>$E47&amp;"|"&amp;$C47</f>
        <v/>
      </c>
      <c r="U47" s="24">
        <f>IF($G47&lt;6,"",80+7*$K47/$I47)</f>
        <v/>
      </c>
      <c r="V47" s="24">
        <f>IF($N47="",$M47,$M47+$N47)</f>
        <v/>
      </c>
    </row>
    <row r="48">
      <c r="A48" s="19" t="inlineStr">
        <is>
          <t>평가군 4</t>
        </is>
      </c>
      <c r="B48" s="19" t="inlineStr">
        <is>
          <t>평가자 4</t>
        </is>
      </c>
      <c r="C48" s="19" t="inlineStr">
        <is>
          <t>2차</t>
        </is>
      </c>
      <c r="D48" s="19" t="inlineStr">
        <is>
          <t>5급</t>
        </is>
      </c>
      <c r="E48" s="19" t="inlineStr">
        <is>
          <t>직원13</t>
        </is>
      </c>
      <c r="F48" s="22" t="n">
        <v>76</v>
      </c>
      <c r="G48" s="19">
        <f>COUNTIF($A$6:$A$79,$A48)</f>
        <v/>
      </c>
      <c r="H48" s="19">
        <f>RANK.EQ($F48,$F$36:$F$65,1)</f>
        <v/>
      </c>
      <c r="I48" s="23">
        <f>INDEX('s(n) 표'!$AQ$5:$AQ$43,MATCH($G48,'s(n) 표'!$A$5:$A$43,0))</f>
        <v/>
      </c>
      <c r="J48" s="17">
        <f>($H48-0.375)/($G48+0.25)</f>
        <v/>
      </c>
      <c r="K48" s="17">
        <f>NORM.S.INV($J48)</f>
        <v/>
      </c>
      <c r="L48" s="24">
        <f>IF($G48&lt;6,"",ROUND(MEDIAN(60,80+7*$K48/$I48,100),3))</f>
        <v/>
      </c>
      <c r="M48" s="24">
        <f>IF($G48&gt;=6,$L48,IFERROR(IF(INDEX($L$6:$L$79,MATCH($E48&amp;"|2차",$T$6:$T$79,0))="",80,INDEX($L$6:$L$79,MATCH($E48&amp;"|2차",$T$6:$T$79,0))),80))</f>
        <v/>
      </c>
      <c r="N48" s="19" t="n">
        <v>0</v>
      </c>
      <c r="O48" s="24">
        <f>IF($N48="",$M48,ROUND(MEDIAN(60,$M48+$N48,100),3))</f>
        <v/>
      </c>
      <c r="P48" s="20" t="inlineStr">
        <is>
          <t>해당 없음 (제7호 조정은 1차 평가자만)</t>
        </is>
      </c>
      <c r="Q48" s="19">
        <f>IF(COUNTIFS($A$6:$A$79,$A48,$F$6:$F$79,$F48)&gt;1,"★동점","")</f>
        <v/>
      </c>
      <c r="R48" s="19">
        <f>IF($L48="","",RANK.EQ($L48,$L$36:$L$65,1))</f>
        <v/>
      </c>
      <c r="S48" s="19">
        <f>IF($L48="","제5호 - 미실시",IF($R48=$H48,"보존","★불일치"))</f>
        <v/>
      </c>
      <c r="T48" s="20">
        <f>$E48&amp;"|"&amp;$C48</f>
        <v/>
      </c>
      <c r="U48" s="24">
        <f>IF($G48&lt;6,"",80+7*$K48/$I48)</f>
        <v/>
      </c>
      <c r="V48" s="24">
        <f>IF($N48="",$M48,$M48+$N48)</f>
        <v/>
      </c>
    </row>
    <row r="49">
      <c r="A49" s="19" t="inlineStr">
        <is>
          <t>평가군 4</t>
        </is>
      </c>
      <c r="B49" s="19" t="inlineStr">
        <is>
          <t>평가자 4</t>
        </is>
      </c>
      <c r="C49" s="19" t="inlineStr">
        <is>
          <t>2차</t>
        </is>
      </c>
      <c r="D49" s="19" t="inlineStr">
        <is>
          <t>5급</t>
        </is>
      </c>
      <c r="E49" s="19" t="inlineStr">
        <is>
          <t>직원14</t>
        </is>
      </c>
      <c r="F49" s="22" t="n">
        <v>71</v>
      </c>
      <c r="G49" s="19">
        <f>COUNTIF($A$6:$A$79,$A49)</f>
        <v/>
      </c>
      <c r="H49" s="19">
        <f>RANK.EQ($F49,$F$36:$F$65,1)</f>
        <v/>
      </c>
      <c r="I49" s="23">
        <f>INDEX('s(n) 표'!$AQ$5:$AQ$43,MATCH($G49,'s(n) 표'!$A$5:$A$43,0))</f>
        <v/>
      </c>
      <c r="J49" s="17">
        <f>($H49-0.375)/($G49+0.25)</f>
        <v/>
      </c>
      <c r="K49" s="17">
        <f>NORM.S.INV($J49)</f>
        <v/>
      </c>
      <c r="L49" s="24">
        <f>IF($G49&lt;6,"",ROUND(MEDIAN(60,80+7*$K49/$I49,100),3))</f>
        <v/>
      </c>
      <c r="M49" s="24">
        <f>IF($G49&gt;=6,$L49,IFERROR(IF(INDEX($L$6:$L$79,MATCH($E49&amp;"|2차",$T$6:$T$79,0))="",80,INDEX($L$6:$L$79,MATCH($E49&amp;"|2차",$T$6:$T$79,0))),80))</f>
        <v/>
      </c>
      <c r="N49" s="19" t="n">
        <v>0</v>
      </c>
      <c r="O49" s="24">
        <f>IF($N49="",$M49,ROUND(MEDIAN(60,$M49+$N49,100),3))</f>
        <v/>
      </c>
      <c r="P49" s="20" t="inlineStr">
        <is>
          <t>해당 없음 (제7호 조정은 1차 평가자만)</t>
        </is>
      </c>
      <c r="Q49" s="19">
        <f>IF(COUNTIFS($A$6:$A$79,$A49,$F$6:$F$79,$F49)&gt;1,"★동점","")</f>
        <v/>
      </c>
      <c r="R49" s="19">
        <f>IF($L49="","",RANK.EQ($L49,$L$36:$L$65,1))</f>
        <v/>
      </c>
      <c r="S49" s="19">
        <f>IF($L49="","제5호 - 미실시",IF($R49=$H49,"보존","★불일치"))</f>
        <v/>
      </c>
      <c r="T49" s="20">
        <f>$E49&amp;"|"&amp;$C49</f>
        <v/>
      </c>
      <c r="U49" s="24">
        <f>IF($G49&lt;6,"",80+7*$K49/$I49)</f>
        <v/>
      </c>
      <c r="V49" s="24">
        <f>IF($N49="",$M49,$M49+$N49)</f>
        <v/>
      </c>
    </row>
    <row r="50">
      <c r="A50" s="19" t="inlineStr">
        <is>
          <t>평가군 4</t>
        </is>
      </c>
      <c r="B50" s="19" t="inlineStr">
        <is>
          <t>평가자 4</t>
        </is>
      </c>
      <c r="C50" s="19" t="inlineStr">
        <is>
          <t>2차</t>
        </is>
      </c>
      <c r="D50" s="19" t="inlineStr">
        <is>
          <t>5급</t>
        </is>
      </c>
      <c r="E50" s="19" t="inlineStr">
        <is>
          <t>직원15</t>
        </is>
      </c>
      <c r="F50" s="22" t="n">
        <v>90</v>
      </c>
      <c r="G50" s="19">
        <f>COUNTIF($A$6:$A$79,$A50)</f>
        <v/>
      </c>
      <c r="H50" s="19">
        <f>RANK.EQ($F50,$F$36:$F$65,1)</f>
        <v/>
      </c>
      <c r="I50" s="23">
        <f>INDEX('s(n) 표'!$AQ$5:$AQ$43,MATCH($G50,'s(n) 표'!$A$5:$A$43,0))</f>
        <v/>
      </c>
      <c r="J50" s="17">
        <f>($H50-0.375)/($G50+0.25)</f>
        <v/>
      </c>
      <c r="K50" s="17">
        <f>NORM.S.INV($J50)</f>
        <v/>
      </c>
      <c r="L50" s="24">
        <f>IF($G50&lt;6,"",ROUND(MEDIAN(60,80+7*$K50/$I50,100),3))</f>
        <v/>
      </c>
      <c r="M50" s="24">
        <f>IF($G50&gt;=6,$L50,IFERROR(IF(INDEX($L$6:$L$79,MATCH($E50&amp;"|2차",$T$6:$T$79,0))="",80,INDEX($L$6:$L$79,MATCH($E50&amp;"|2차",$T$6:$T$79,0))),80))</f>
        <v/>
      </c>
      <c r="N50" s="19" t="n">
        <v>0</v>
      </c>
      <c r="O50" s="24">
        <f>IF($N50="",$M50,ROUND(MEDIAN(60,$M50+$N50,100),3))</f>
        <v/>
      </c>
      <c r="P50" s="20" t="inlineStr">
        <is>
          <t>해당 없음 (제7호 조정은 1차 평가자만)</t>
        </is>
      </c>
      <c r="Q50" s="19">
        <f>IF(COUNTIFS($A$6:$A$79,$A50,$F$6:$F$79,$F50)&gt;1,"★동점","")</f>
        <v/>
      </c>
      <c r="R50" s="19">
        <f>IF($L50="","",RANK.EQ($L50,$L$36:$L$65,1))</f>
        <v/>
      </c>
      <c r="S50" s="19">
        <f>IF($L50="","제5호 - 미실시",IF($R50=$H50,"보존","★불일치"))</f>
        <v/>
      </c>
      <c r="T50" s="20">
        <f>$E50&amp;"|"&amp;$C50</f>
        <v/>
      </c>
      <c r="U50" s="24">
        <f>IF($G50&lt;6,"",80+7*$K50/$I50)</f>
        <v/>
      </c>
      <c r="V50" s="24">
        <f>IF($N50="",$M50,$M50+$N50)</f>
        <v/>
      </c>
    </row>
    <row r="51">
      <c r="A51" s="19" t="inlineStr">
        <is>
          <t>평가군 4</t>
        </is>
      </c>
      <c r="B51" s="19" t="inlineStr">
        <is>
          <t>평가자 4</t>
        </is>
      </c>
      <c r="C51" s="19" t="inlineStr">
        <is>
          <t>2차</t>
        </is>
      </c>
      <c r="D51" s="19" t="inlineStr">
        <is>
          <t>5급</t>
        </is>
      </c>
      <c r="E51" s="19" t="inlineStr">
        <is>
          <t>직원16</t>
        </is>
      </c>
      <c r="F51" s="22" t="n">
        <v>88</v>
      </c>
      <c r="G51" s="19">
        <f>COUNTIF($A$6:$A$79,$A51)</f>
        <v/>
      </c>
      <c r="H51" s="19">
        <f>RANK.EQ($F51,$F$36:$F$65,1)</f>
        <v/>
      </c>
      <c r="I51" s="23">
        <f>INDEX('s(n) 표'!$AQ$5:$AQ$43,MATCH($G51,'s(n) 표'!$A$5:$A$43,0))</f>
        <v/>
      </c>
      <c r="J51" s="17">
        <f>($H51-0.375)/($G51+0.25)</f>
        <v/>
      </c>
      <c r="K51" s="17">
        <f>NORM.S.INV($J51)</f>
        <v/>
      </c>
      <c r="L51" s="24">
        <f>IF($G51&lt;6,"",ROUND(MEDIAN(60,80+7*$K51/$I51,100),3))</f>
        <v/>
      </c>
      <c r="M51" s="24">
        <f>IF($G51&gt;=6,$L51,IFERROR(IF(INDEX($L$6:$L$79,MATCH($E51&amp;"|2차",$T$6:$T$79,0))="",80,INDEX($L$6:$L$79,MATCH($E51&amp;"|2차",$T$6:$T$79,0))),80))</f>
        <v/>
      </c>
      <c r="N51" s="19" t="n">
        <v>0</v>
      </c>
      <c r="O51" s="24">
        <f>IF($N51="",$M51,ROUND(MEDIAN(60,$M51+$N51,100),3))</f>
        <v/>
      </c>
      <c r="P51" s="20" t="inlineStr">
        <is>
          <t>해당 없음 (제7호 조정은 1차 평가자만)</t>
        </is>
      </c>
      <c r="Q51" s="19">
        <f>IF(COUNTIFS($A$6:$A$79,$A51,$F$6:$F$79,$F51)&gt;1,"★동점","")</f>
        <v/>
      </c>
      <c r="R51" s="19">
        <f>IF($L51="","",RANK.EQ($L51,$L$36:$L$65,1))</f>
        <v/>
      </c>
      <c r="S51" s="19">
        <f>IF($L51="","제5호 - 미실시",IF($R51=$H51,"보존","★불일치"))</f>
        <v/>
      </c>
      <c r="T51" s="20">
        <f>$E51&amp;"|"&amp;$C51</f>
        <v/>
      </c>
      <c r="U51" s="24">
        <f>IF($G51&lt;6,"",80+7*$K51/$I51)</f>
        <v/>
      </c>
      <c r="V51" s="24">
        <f>IF($N51="",$M51,$M51+$N51)</f>
        <v/>
      </c>
    </row>
    <row r="52">
      <c r="A52" s="19" t="inlineStr">
        <is>
          <t>평가군 4</t>
        </is>
      </c>
      <c r="B52" s="19" t="inlineStr">
        <is>
          <t>평가자 4</t>
        </is>
      </c>
      <c r="C52" s="19" t="inlineStr">
        <is>
          <t>2차</t>
        </is>
      </c>
      <c r="D52" s="19" t="inlineStr">
        <is>
          <t>5급</t>
        </is>
      </c>
      <c r="E52" s="19" t="inlineStr">
        <is>
          <t>직원17</t>
        </is>
      </c>
      <c r="F52" s="22" t="n">
        <v>86</v>
      </c>
      <c r="G52" s="19">
        <f>COUNTIF($A$6:$A$79,$A52)</f>
        <v/>
      </c>
      <c r="H52" s="19">
        <f>RANK.EQ($F52,$F$36:$F$65,1)</f>
        <v/>
      </c>
      <c r="I52" s="23">
        <f>INDEX('s(n) 표'!$AQ$5:$AQ$43,MATCH($G52,'s(n) 표'!$A$5:$A$43,0))</f>
        <v/>
      </c>
      <c r="J52" s="17">
        <f>($H52-0.375)/($G52+0.25)</f>
        <v/>
      </c>
      <c r="K52" s="17">
        <f>NORM.S.INV($J52)</f>
        <v/>
      </c>
      <c r="L52" s="24">
        <f>IF($G52&lt;6,"",ROUND(MEDIAN(60,80+7*$K52/$I52,100),3))</f>
        <v/>
      </c>
      <c r="M52" s="24">
        <f>IF($G52&gt;=6,$L52,IFERROR(IF(INDEX($L$6:$L$79,MATCH($E52&amp;"|2차",$T$6:$T$79,0))="",80,INDEX($L$6:$L$79,MATCH($E52&amp;"|2차",$T$6:$T$79,0))),80))</f>
        <v/>
      </c>
      <c r="N52" s="19" t="n">
        <v>0</v>
      </c>
      <c r="O52" s="24">
        <f>IF($N52="",$M52,ROUND(MEDIAN(60,$M52+$N52,100),3))</f>
        <v/>
      </c>
      <c r="P52" s="20" t="inlineStr">
        <is>
          <t>해당 없음 (제7호 조정은 1차 평가자만)</t>
        </is>
      </c>
      <c r="Q52" s="19">
        <f>IF(COUNTIFS($A$6:$A$79,$A52,$F$6:$F$79,$F52)&gt;1,"★동점","")</f>
        <v/>
      </c>
      <c r="R52" s="19">
        <f>IF($L52="","",RANK.EQ($L52,$L$36:$L$65,1))</f>
        <v/>
      </c>
      <c r="S52" s="19">
        <f>IF($L52="","제5호 - 미실시",IF($R52=$H52,"보존","★불일치"))</f>
        <v/>
      </c>
      <c r="T52" s="20">
        <f>$E52&amp;"|"&amp;$C52</f>
        <v/>
      </c>
      <c r="U52" s="24">
        <f>IF($G52&lt;6,"",80+7*$K52/$I52)</f>
        <v/>
      </c>
      <c r="V52" s="24">
        <f>IF($N52="",$M52,$M52+$N52)</f>
        <v/>
      </c>
    </row>
    <row r="53">
      <c r="A53" s="19" t="inlineStr">
        <is>
          <t>평가군 4</t>
        </is>
      </c>
      <c r="B53" s="19" t="inlineStr">
        <is>
          <t>평가자 4</t>
        </is>
      </c>
      <c r="C53" s="19" t="inlineStr">
        <is>
          <t>2차</t>
        </is>
      </c>
      <c r="D53" s="19" t="inlineStr">
        <is>
          <t>5급</t>
        </is>
      </c>
      <c r="E53" s="19" t="inlineStr">
        <is>
          <t>직원18</t>
        </is>
      </c>
      <c r="F53" s="22" t="n">
        <v>84</v>
      </c>
      <c r="G53" s="19">
        <f>COUNTIF($A$6:$A$79,$A53)</f>
        <v/>
      </c>
      <c r="H53" s="19">
        <f>RANK.EQ($F53,$F$36:$F$65,1)</f>
        <v/>
      </c>
      <c r="I53" s="23">
        <f>INDEX('s(n) 표'!$AQ$5:$AQ$43,MATCH($G53,'s(n) 표'!$A$5:$A$43,0))</f>
        <v/>
      </c>
      <c r="J53" s="17">
        <f>($H53-0.375)/($G53+0.25)</f>
        <v/>
      </c>
      <c r="K53" s="17">
        <f>NORM.S.INV($J53)</f>
        <v/>
      </c>
      <c r="L53" s="24">
        <f>IF($G53&lt;6,"",ROUND(MEDIAN(60,80+7*$K53/$I53,100),3))</f>
        <v/>
      </c>
      <c r="M53" s="24">
        <f>IF($G53&gt;=6,$L53,IFERROR(IF(INDEX($L$6:$L$79,MATCH($E53&amp;"|2차",$T$6:$T$79,0))="",80,INDEX($L$6:$L$79,MATCH($E53&amp;"|2차",$T$6:$T$79,0))),80))</f>
        <v/>
      </c>
      <c r="N53" s="19" t="n">
        <v>0</v>
      </c>
      <c r="O53" s="24">
        <f>IF($N53="",$M53,ROUND(MEDIAN(60,$M53+$N53,100),3))</f>
        <v/>
      </c>
      <c r="P53" s="20" t="inlineStr">
        <is>
          <t>해당 없음 (제7호 조정은 1차 평가자만)</t>
        </is>
      </c>
      <c r="Q53" s="19">
        <f>IF(COUNTIFS($A$6:$A$79,$A53,$F$6:$F$79,$F53)&gt;1,"★동점","")</f>
        <v/>
      </c>
      <c r="R53" s="19">
        <f>IF($L53="","",RANK.EQ($L53,$L$36:$L$65,1))</f>
        <v/>
      </c>
      <c r="S53" s="19">
        <f>IF($L53="","제5호 - 미실시",IF($R53=$H53,"보존","★불일치"))</f>
        <v/>
      </c>
      <c r="T53" s="20">
        <f>$E53&amp;"|"&amp;$C53</f>
        <v/>
      </c>
      <c r="U53" s="24">
        <f>IF($G53&lt;6,"",80+7*$K53/$I53)</f>
        <v/>
      </c>
      <c r="V53" s="24">
        <f>IF($N53="",$M53,$M53+$N53)</f>
        <v/>
      </c>
    </row>
    <row r="54">
      <c r="A54" s="19" t="inlineStr">
        <is>
          <t>평가군 4</t>
        </is>
      </c>
      <c r="B54" s="19" t="inlineStr">
        <is>
          <t>평가자 4</t>
        </is>
      </c>
      <c r="C54" s="19" t="inlineStr">
        <is>
          <t>2차</t>
        </is>
      </c>
      <c r="D54" s="19" t="inlineStr">
        <is>
          <t>5급</t>
        </is>
      </c>
      <c r="E54" s="19" t="inlineStr">
        <is>
          <t>직원19</t>
        </is>
      </c>
      <c r="F54" s="22" t="n">
        <v>83</v>
      </c>
      <c r="G54" s="19">
        <f>COUNTIF($A$6:$A$79,$A54)</f>
        <v/>
      </c>
      <c r="H54" s="19">
        <f>RANK.EQ($F54,$F$36:$F$65,1)</f>
        <v/>
      </c>
      <c r="I54" s="23">
        <f>INDEX('s(n) 표'!$AQ$5:$AQ$43,MATCH($G54,'s(n) 표'!$A$5:$A$43,0))</f>
        <v/>
      </c>
      <c r="J54" s="17">
        <f>($H54-0.375)/($G54+0.25)</f>
        <v/>
      </c>
      <c r="K54" s="17">
        <f>NORM.S.INV($J54)</f>
        <v/>
      </c>
      <c r="L54" s="24">
        <f>IF($G54&lt;6,"",ROUND(MEDIAN(60,80+7*$K54/$I54,100),3))</f>
        <v/>
      </c>
      <c r="M54" s="24">
        <f>IF($G54&gt;=6,$L54,IFERROR(IF(INDEX($L$6:$L$79,MATCH($E54&amp;"|2차",$T$6:$T$79,0))="",80,INDEX($L$6:$L$79,MATCH($E54&amp;"|2차",$T$6:$T$79,0))),80))</f>
        <v/>
      </c>
      <c r="N54" s="19" t="n">
        <v>0</v>
      </c>
      <c r="O54" s="24">
        <f>IF($N54="",$M54,ROUND(MEDIAN(60,$M54+$N54,100),3))</f>
        <v/>
      </c>
      <c r="P54" s="20" t="inlineStr">
        <is>
          <t>해당 없음 (제7호 조정은 1차 평가자만)</t>
        </is>
      </c>
      <c r="Q54" s="19">
        <f>IF(COUNTIFS($A$6:$A$79,$A54,$F$6:$F$79,$F54)&gt;1,"★동점","")</f>
        <v/>
      </c>
      <c r="R54" s="19">
        <f>IF($L54="","",RANK.EQ($L54,$L$36:$L$65,1))</f>
        <v/>
      </c>
      <c r="S54" s="19">
        <f>IF($L54="","제5호 - 미실시",IF($R54=$H54,"보존","★불일치"))</f>
        <v/>
      </c>
      <c r="T54" s="20">
        <f>$E54&amp;"|"&amp;$C54</f>
        <v/>
      </c>
      <c r="U54" s="24">
        <f>IF($G54&lt;6,"",80+7*$K54/$I54)</f>
        <v/>
      </c>
      <c r="V54" s="24">
        <f>IF($N54="",$M54,$M54+$N54)</f>
        <v/>
      </c>
    </row>
    <row r="55">
      <c r="A55" s="19" t="inlineStr">
        <is>
          <t>평가군 4</t>
        </is>
      </c>
      <c r="B55" s="19" t="inlineStr">
        <is>
          <t>평가자 4</t>
        </is>
      </c>
      <c r="C55" s="19" t="inlineStr">
        <is>
          <t>2차</t>
        </is>
      </c>
      <c r="D55" s="19" t="inlineStr">
        <is>
          <t>5급</t>
        </is>
      </c>
      <c r="E55" s="19" t="inlineStr">
        <is>
          <t>직원20</t>
        </is>
      </c>
      <c r="F55" s="22" t="n">
        <v>81</v>
      </c>
      <c r="G55" s="19">
        <f>COUNTIF($A$6:$A$79,$A55)</f>
        <v/>
      </c>
      <c r="H55" s="19">
        <f>RANK.EQ($F55,$F$36:$F$65,1)</f>
        <v/>
      </c>
      <c r="I55" s="23">
        <f>INDEX('s(n) 표'!$AQ$5:$AQ$43,MATCH($G55,'s(n) 표'!$A$5:$A$43,0))</f>
        <v/>
      </c>
      <c r="J55" s="17">
        <f>($H55-0.375)/($G55+0.25)</f>
        <v/>
      </c>
      <c r="K55" s="17">
        <f>NORM.S.INV($J55)</f>
        <v/>
      </c>
      <c r="L55" s="24">
        <f>IF($G55&lt;6,"",ROUND(MEDIAN(60,80+7*$K55/$I55,100),3))</f>
        <v/>
      </c>
      <c r="M55" s="24">
        <f>IF($G55&gt;=6,$L55,IFERROR(IF(INDEX($L$6:$L$79,MATCH($E55&amp;"|2차",$T$6:$T$79,0))="",80,INDEX($L$6:$L$79,MATCH($E55&amp;"|2차",$T$6:$T$79,0))),80))</f>
        <v/>
      </c>
      <c r="N55" s="19" t="n">
        <v>0</v>
      </c>
      <c r="O55" s="24">
        <f>IF($N55="",$M55,ROUND(MEDIAN(60,$M55+$N55,100),3))</f>
        <v/>
      </c>
      <c r="P55" s="20" t="inlineStr">
        <is>
          <t>해당 없음 (제7호 조정은 1차 평가자만)</t>
        </is>
      </c>
      <c r="Q55" s="19">
        <f>IF(COUNTIFS($A$6:$A$79,$A55,$F$6:$F$79,$F55)&gt;1,"★동점","")</f>
        <v/>
      </c>
      <c r="R55" s="19">
        <f>IF($L55="","",RANK.EQ($L55,$L$36:$L$65,1))</f>
        <v/>
      </c>
      <c r="S55" s="19">
        <f>IF($L55="","제5호 - 미실시",IF($R55=$H55,"보존","★불일치"))</f>
        <v/>
      </c>
      <c r="T55" s="20">
        <f>$E55&amp;"|"&amp;$C55</f>
        <v/>
      </c>
      <c r="U55" s="24">
        <f>IF($G55&lt;6,"",80+7*$K55/$I55)</f>
        <v/>
      </c>
      <c r="V55" s="24">
        <f>IF($N55="",$M55,$M55+$N55)</f>
        <v/>
      </c>
    </row>
    <row r="56">
      <c r="A56" s="19" t="inlineStr">
        <is>
          <t>평가군 4</t>
        </is>
      </c>
      <c r="B56" s="19" t="inlineStr">
        <is>
          <t>평가자 4</t>
        </is>
      </c>
      <c r="C56" s="19" t="inlineStr">
        <is>
          <t>2차</t>
        </is>
      </c>
      <c r="D56" s="19" t="inlineStr">
        <is>
          <t>5급</t>
        </is>
      </c>
      <c r="E56" s="19" t="inlineStr">
        <is>
          <t>직원21</t>
        </is>
      </c>
      <c r="F56" s="22" t="n">
        <v>80</v>
      </c>
      <c r="G56" s="19">
        <f>COUNTIF($A$6:$A$79,$A56)</f>
        <v/>
      </c>
      <c r="H56" s="19">
        <f>RANK.EQ($F56,$F$36:$F$65,1)</f>
        <v/>
      </c>
      <c r="I56" s="23">
        <f>INDEX('s(n) 표'!$AQ$5:$AQ$43,MATCH($G56,'s(n) 표'!$A$5:$A$43,0))</f>
        <v/>
      </c>
      <c r="J56" s="17">
        <f>($H56-0.375)/($G56+0.25)</f>
        <v/>
      </c>
      <c r="K56" s="17">
        <f>NORM.S.INV($J56)</f>
        <v/>
      </c>
      <c r="L56" s="24">
        <f>IF($G56&lt;6,"",ROUND(MEDIAN(60,80+7*$K56/$I56,100),3))</f>
        <v/>
      </c>
      <c r="M56" s="24">
        <f>IF($G56&gt;=6,$L56,IFERROR(IF(INDEX($L$6:$L$79,MATCH($E56&amp;"|2차",$T$6:$T$79,0))="",80,INDEX($L$6:$L$79,MATCH($E56&amp;"|2차",$T$6:$T$79,0))),80))</f>
        <v/>
      </c>
      <c r="N56" s="19" t="n">
        <v>0</v>
      </c>
      <c r="O56" s="24">
        <f>IF($N56="",$M56,ROUND(MEDIAN(60,$M56+$N56,100),3))</f>
        <v/>
      </c>
      <c r="P56" s="20" t="inlineStr">
        <is>
          <t>해당 없음 (제7호 조정은 1차 평가자만)</t>
        </is>
      </c>
      <c r="Q56" s="19">
        <f>IF(COUNTIFS($A$6:$A$79,$A56,$F$6:$F$79,$F56)&gt;1,"★동점","")</f>
        <v/>
      </c>
      <c r="R56" s="19">
        <f>IF($L56="","",RANK.EQ($L56,$L$36:$L$65,1))</f>
        <v/>
      </c>
      <c r="S56" s="19">
        <f>IF($L56="","제5호 - 미실시",IF($R56=$H56,"보존","★불일치"))</f>
        <v/>
      </c>
      <c r="T56" s="20">
        <f>$E56&amp;"|"&amp;$C56</f>
        <v/>
      </c>
      <c r="U56" s="24">
        <f>IF($G56&lt;6,"",80+7*$K56/$I56)</f>
        <v/>
      </c>
      <c r="V56" s="24">
        <f>IF($N56="",$M56,$M56+$N56)</f>
        <v/>
      </c>
    </row>
    <row r="57">
      <c r="A57" s="19" t="inlineStr">
        <is>
          <t>평가군 4</t>
        </is>
      </c>
      <c r="B57" s="19" t="inlineStr">
        <is>
          <t>평가자 4</t>
        </is>
      </c>
      <c r="C57" s="19" t="inlineStr">
        <is>
          <t>2차</t>
        </is>
      </c>
      <c r="D57" s="19" t="inlineStr">
        <is>
          <t>5급</t>
        </is>
      </c>
      <c r="E57" s="19" t="inlineStr">
        <is>
          <t>직원22</t>
        </is>
      </c>
      <c r="F57" s="22" t="n">
        <v>78</v>
      </c>
      <c r="G57" s="19">
        <f>COUNTIF($A$6:$A$79,$A57)</f>
        <v/>
      </c>
      <c r="H57" s="19">
        <f>RANK.EQ($F57,$F$36:$F$65,1)</f>
        <v/>
      </c>
      <c r="I57" s="23">
        <f>INDEX('s(n) 표'!$AQ$5:$AQ$43,MATCH($G57,'s(n) 표'!$A$5:$A$43,0))</f>
        <v/>
      </c>
      <c r="J57" s="17">
        <f>($H57-0.375)/($G57+0.25)</f>
        <v/>
      </c>
      <c r="K57" s="17">
        <f>NORM.S.INV($J57)</f>
        <v/>
      </c>
      <c r="L57" s="24">
        <f>IF($G57&lt;6,"",ROUND(MEDIAN(60,80+7*$K57/$I57,100),3))</f>
        <v/>
      </c>
      <c r="M57" s="24">
        <f>IF($G57&gt;=6,$L57,IFERROR(IF(INDEX($L$6:$L$79,MATCH($E57&amp;"|2차",$T$6:$T$79,0))="",80,INDEX($L$6:$L$79,MATCH($E57&amp;"|2차",$T$6:$T$79,0))),80))</f>
        <v/>
      </c>
      <c r="N57" s="19" t="n">
        <v>0</v>
      </c>
      <c r="O57" s="24">
        <f>IF($N57="",$M57,ROUND(MEDIAN(60,$M57+$N57,100),3))</f>
        <v/>
      </c>
      <c r="P57" s="20" t="inlineStr">
        <is>
          <t>해당 없음 (제7호 조정은 1차 평가자만)</t>
        </is>
      </c>
      <c r="Q57" s="19">
        <f>IF(COUNTIFS($A$6:$A$79,$A57,$F$6:$F$79,$F57)&gt;1,"★동점","")</f>
        <v/>
      </c>
      <c r="R57" s="19">
        <f>IF($L57="","",RANK.EQ($L57,$L$36:$L$65,1))</f>
        <v/>
      </c>
      <c r="S57" s="19">
        <f>IF($L57="","제5호 - 미실시",IF($R57=$H57,"보존","★불일치"))</f>
        <v/>
      </c>
      <c r="T57" s="20">
        <f>$E57&amp;"|"&amp;$C57</f>
        <v/>
      </c>
      <c r="U57" s="24">
        <f>IF($G57&lt;6,"",80+7*$K57/$I57)</f>
        <v/>
      </c>
      <c r="V57" s="24">
        <f>IF($N57="",$M57,$M57+$N57)</f>
        <v/>
      </c>
    </row>
    <row r="58">
      <c r="A58" s="19" t="inlineStr">
        <is>
          <t>평가군 4</t>
        </is>
      </c>
      <c r="B58" s="19" t="inlineStr">
        <is>
          <t>평가자 4</t>
        </is>
      </c>
      <c r="C58" s="19" t="inlineStr">
        <is>
          <t>2차</t>
        </is>
      </c>
      <c r="D58" s="19" t="inlineStr">
        <is>
          <t>5급</t>
        </is>
      </c>
      <c r="E58" s="19" t="inlineStr">
        <is>
          <t>직원23</t>
        </is>
      </c>
      <c r="F58" s="22" t="n">
        <v>75</v>
      </c>
      <c r="G58" s="19">
        <f>COUNTIF($A$6:$A$79,$A58)</f>
        <v/>
      </c>
      <c r="H58" s="19">
        <f>RANK.EQ($F58,$F$36:$F$65,1)</f>
        <v/>
      </c>
      <c r="I58" s="23">
        <f>INDEX('s(n) 표'!$AQ$5:$AQ$43,MATCH($G58,'s(n) 표'!$A$5:$A$43,0))</f>
        <v/>
      </c>
      <c r="J58" s="17">
        <f>($H58-0.375)/($G58+0.25)</f>
        <v/>
      </c>
      <c r="K58" s="17">
        <f>NORM.S.INV($J58)</f>
        <v/>
      </c>
      <c r="L58" s="24">
        <f>IF($G58&lt;6,"",ROUND(MEDIAN(60,80+7*$K58/$I58,100),3))</f>
        <v/>
      </c>
      <c r="M58" s="24">
        <f>IF($G58&gt;=6,$L58,IFERROR(IF(INDEX($L$6:$L$79,MATCH($E58&amp;"|2차",$T$6:$T$79,0))="",80,INDEX($L$6:$L$79,MATCH($E58&amp;"|2차",$T$6:$T$79,0))),80))</f>
        <v/>
      </c>
      <c r="N58" s="19" t="n">
        <v>0</v>
      </c>
      <c r="O58" s="24">
        <f>IF($N58="",$M58,ROUND(MEDIAN(60,$M58+$N58,100),3))</f>
        <v/>
      </c>
      <c r="P58" s="20" t="inlineStr">
        <is>
          <t>해당 없음 (제7호 조정은 1차 평가자만)</t>
        </is>
      </c>
      <c r="Q58" s="19">
        <f>IF(COUNTIFS($A$6:$A$79,$A58,$F$6:$F$79,$F58)&gt;1,"★동점","")</f>
        <v/>
      </c>
      <c r="R58" s="19">
        <f>IF($L58="","",RANK.EQ($L58,$L$36:$L$65,1))</f>
        <v/>
      </c>
      <c r="S58" s="19">
        <f>IF($L58="","제5호 - 미실시",IF($R58=$H58,"보존","★불일치"))</f>
        <v/>
      </c>
      <c r="T58" s="20">
        <f>$E58&amp;"|"&amp;$C58</f>
        <v/>
      </c>
      <c r="U58" s="24">
        <f>IF($G58&lt;6,"",80+7*$K58/$I58)</f>
        <v/>
      </c>
      <c r="V58" s="24">
        <f>IF($N58="",$M58,$M58+$N58)</f>
        <v/>
      </c>
    </row>
    <row r="59">
      <c r="A59" s="19" t="inlineStr">
        <is>
          <t>평가군 4</t>
        </is>
      </c>
      <c r="B59" s="19" t="inlineStr">
        <is>
          <t>평가자 4</t>
        </is>
      </c>
      <c r="C59" s="19" t="inlineStr">
        <is>
          <t>2차</t>
        </is>
      </c>
      <c r="D59" s="19" t="inlineStr">
        <is>
          <t>5급</t>
        </is>
      </c>
      <c r="E59" s="19" t="inlineStr">
        <is>
          <t>직원24</t>
        </is>
      </c>
      <c r="F59" s="22" t="n">
        <v>73</v>
      </c>
      <c r="G59" s="19">
        <f>COUNTIF($A$6:$A$79,$A59)</f>
        <v/>
      </c>
      <c r="H59" s="19">
        <f>RANK.EQ($F59,$F$36:$F$65,1)</f>
        <v/>
      </c>
      <c r="I59" s="23">
        <f>INDEX('s(n) 표'!$AQ$5:$AQ$43,MATCH($G59,'s(n) 표'!$A$5:$A$43,0))</f>
        <v/>
      </c>
      <c r="J59" s="17">
        <f>($H59-0.375)/($G59+0.25)</f>
        <v/>
      </c>
      <c r="K59" s="17">
        <f>NORM.S.INV($J59)</f>
        <v/>
      </c>
      <c r="L59" s="24">
        <f>IF($G59&lt;6,"",ROUND(MEDIAN(60,80+7*$K59/$I59,100),3))</f>
        <v/>
      </c>
      <c r="M59" s="24">
        <f>IF($G59&gt;=6,$L59,IFERROR(IF(INDEX($L$6:$L$79,MATCH($E59&amp;"|2차",$T$6:$T$79,0))="",80,INDEX($L$6:$L$79,MATCH($E59&amp;"|2차",$T$6:$T$79,0))),80))</f>
        <v/>
      </c>
      <c r="N59" s="19" t="n">
        <v>0</v>
      </c>
      <c r="O59" s="24">
        <f>IF($N59="",$M59,ROUND(MEDIAN(60,$M59+$N59,100),3))</f>
        <v/>
      </c>
      <c r="P59" s="20" t="inlineStr">
        <is>
          <t>해당 없음 (제7호 조정은 1차 평가자만)</t>
        </is>
      </c>
      <c r="Q59" s="19">
        <f>IF(COUNTIFS($A$6:$A$79,$A59,$F$6:$F$79,$F59)&gt;1,"★동점","")</f>
        <v/>
      </c>
      <c r="R59" s="19">
        <f>IF($L59="","",RANK.EQ($L59,$L$36:$L$65,1))</f>
        <v/>
      </c>
      <c r="S59" s="19">
        <f>IF($L59="","제5호 - 미실시",IF($R59=$H59,"보존","★불일치"))</f>
        <v/>
      </c>
      <c r="T59" s="20">
        <f>$E59&amp;"|"&amp;$C59</f>
        <v/>
      </c>
      <c r="U59" s="24">
        <f>IF($G59&lt;6,"",80+7*$K59/$I59)</f>
        <v/>
      </c>
      <c r="V59" s="24">
        <f>IF($N59="",$M59,$M59+$N59)</f>
        <v/>
      </c>
    </row>
    <row r="60">
      <c r="A60" s="19" t="inlineStr">
        <is>
          <t>평가군 4</t>
        </is>
      </c>
      <c r="B60" s="19" t="inlineStr">
        <is>
          <t>평가자 4</t>
        </is>
      </c>
      <c r="C60" s="19" t="inlineStr">
        <is>
          <t>2차</t>
        </is>
      </c>
      <c r="D60" s="19" t="inlineStr">
        <is>
          <t>5급</t>
        </is>
      </c>
      <c r="E60" s="19" t="inlineStr">
        <is>
          <t>직원25</t>
        </is>
      </c>
      <c r="F60" s="22" t="n">
        <v>72</v>
      </c>
      <c r="G60" s="19">
        <f>COUNTIF($A$6:$A$79,$A60)</f>
        <v/>
      </c>
      <c r="H60" s="19">
        <f>RANK.EQ($F60,$F$36:$F$65,1)</f>
        <v/>
      </c>
      <c r="I60" s="23">
        <f>INDEX('s(n) 표'!$AQ$5:$AQ$43,MATCH($G60,'s(n) 표'!$A$5:$A$43,0))</f>
        <v/>
      </c>
      <c r="J60" s="17">
        <f>($H60-0.375)/($G60+0.25)</f>
        <v/>
      </c>
      <c r="K60" s="17">
        <f>NORM.S.INV($J60)</f>
        <v/>
      </c>
      <c r="L60" s="24">
        <f>IF($G60&lt;6,"",ROUND(MEDIAN(60,80+7*$K60/$I60,100),3))</f>
        <v/>
      </c>
      <c r="M60" s="24">
        <f>IF($G60&gt;=6,$L60,IFERROR(IF(INDEX($L$6:$L$79,MATCH($E60&amp;"|2차",$T$6:$T$79,0))="",80,INDEX($L$6:$L$79,MATCH($E60&amp;"|2차",$T$6:$T$79,0))),80))</f>
        <v/>
      </c>
      <c r="N60" s="19" t="n">
        <v>0</v>
      </c>
      <c r="O60" s="24">
        <f>IF($N60="",$M60,ROUND(MEDIAN(60,$M60+$N60,100),3))</f>
        <v/>
      </c>
      <c r="P60" s="20" t="inlineStr">
        <is>
          <t>해당 없음 (제7호 조정은 1차 평가자만)</t>
        </is>
      </c>
      <c r="Q60" s="19">
        <f>IF(COUNTIFS($A$6:$A$79,$A60,$F$6:$F$79,$F60)&gt;1,"★동점","")</f>
        <v/>
      </c>
      <c r="R60" s="19">
        <f>IF($L60="","",RANK.EQ($L60,$L$36:$L$65,1))</f>
        <v/>
      </c>
      <c r="S60" s="19">
        <f>IF($L60="","제5호 - 미실시",IF($R60=$H60,"보존","★불일치"))</f>
        <v/>
      </c>
      <c r="T60" s="20">
        <f>$E60&amp;"|"&amp;$C60</f>
        <v/>
      </c>
      <c r="U60" s="24">
        <f>IF($G60&lt;6,"",80+7*$K60/$I60)</f>
        <v/>
      </c>
      <c r="V60" s="24">
        <f>IF($N60="",$M60,$M60+$N60)</f>
        <v/>
      </c>
    </row>
    <row r="61">
      <c r="A61" s="19" t="inlineStr">
        <is>
          <t>평가군 4</t>
        </is>
      </c>
      <c r="B61" s="19" t="inlineStr">
        <is>
          <t>평가자 4</t>
        </is>
      </c>
      <c r="C61" s="19" t="inlineStr">
        <is>
          <t>2차</t>
        </is>
      </c>
      <c r="D61" s="19" t="inlineStr">
        <is>
          <t>5급</t>
        </is>
      </c>
      <c r="E61" s="19" t="inlineStr">
        <is>
          <t>직원26</t>
        </is>
      </c>
      <c r="F61" s="22" t="n">
        <v>70</v>
      </c>
      <c r="G61" s="19">
        <f>COUNTIF($A$6:$A$79,$A61)</f>
        <v/>
      </c>
      <c r="H61" s="19">
        <f>RANK.EQ($F61,$F$36:$F$65,1)</f>
        <v/>
      </c>
      <c r="I61" s="23">
        <f>INDEX('s(n) 표'!$AQ$5:$AQ$43,MATCH($G61,'s(n) 표'!$A$5:$A$43,0))</f>
        <v/>
      </c>
      <c r="J61" s="17">
        <f>($H61-0.375)/($G61+0.25)</f>
        <v/>
      </c>
      <c r="K61" s="17">
        <f>NORM.S.INV($J61)</f>
        <v/>
      </c>
      <c r="L61" s="24">
        <f>IF($G61&lt;6,"",ROUND(MEDIAN(60,80+7*$K61/$I61,100),3))</f>
        <v/>
      </c>
      <c r="M61" s="24">
        <f>IF($G61&gt;=6,$L61,IFERROR(IF(INDEX($L$6:$L$79,MATCH($E61&amp;"|2차",$T$6:$T$79,0))="",80,INDEX($L$6:$L$79,MATCH($E61&amp;"|2차",$T$6:$T$79,0))),80))</f>
        <v/>
      </c>
      <c r="N61" s="19" t="n">
        <v>0</v>
      </c>
      <c r="O61" s="24">
        <f>IF($N61="",$M61,ROUND(MEDIAN(60,$M61+$N61,100),3))</f>
        <v/>
      </c>
      <c r="P61" s="20" t="inlineStr">
        <is>
          <t>해당 없음 (제7호 조정은 1차 평가자만)</t>
        </is>
      </c>
      <c r="Q61" s="19">
        <f>IF(COUNTIFS($A$6:$A$79,$A61,$F$6:$F$79,$F61)&gt;1,"★동점","")</f>
        <v/>
      </c>
      <c r="R61" s="19">
        <f>IF($L61="","",RANK.EQ($L61,$L$36:$L$65,1))</f>
        <v/>
      </c>
      <c r="S61" s="19">
        <f>IF($L61="","제5호 - 미실시",IF($R61=$H61,"보존","★불일치"))</f>
        <v/>
      </c>
      <c r="T61" s="20">
        <f>$E61&amp;"|"&amp;$C61</f>
        <v/>
      </c>
      <c r="U61" s="24">
        <f>IF($G61&lt;6,"",80+7*$K61/$I61)</f>
        <v/>
      </c>
      <c r="V61" s="24">
        <f>IF($N61="",$M61,$M61+$N61)</f>
        <v/>
      </c>
    </row>
    <row r="62">
      <c r="A62" s="19" t="inlineStr">
        <is>
          <t>평가군 4</t>
        </is>
      </c>
      <c r="B62" s="19" t="inlineStr">
        <is>
          <t>평가자 4</t>
        </is>
      </c>
      <c r="C62" s="19" t="inlineStr">
        <is>
          <t>2차</t>
        </is>
      </c>
      <c r="D62" s="19" t="inlineStr">
        <is>
          <t>5급</t>
        </is>
      </c>
      <c r="E62" s="19" t="inlineStr">
        <is>
          <t>직원27</t>
        </is>
      </c>
      <c r="F62" s="22" t="n">
        <v>69</v>
      </c>
      <c r="G62" s="19">
        <f>COUNTIF($A$6:$A$79,$A62)</f>
        <v/>
      </c>
      <c r="H62" s="19">
        <f>RANK.EQ($F62,$F$36:$F$65,1)</f>
        <v/>
      </c>
      <c r="I62" s="23">
        <f>INDEX('s(n) 표'!$AQ$5:$AQ$43,MATCH($G62,'s(n) 표'!$A$5:$A$43,0))</f>
        <v/>
      </c>
      <c r="J62" s="17">
        <f>($H62-0.375)/($G62+0.25)</f>
        <v/>
      </c>
      <c r="K62" s="17">
        <f>NORM.S.INV($J62)</f>
        <v/>
      </c>
      <c r="L62" s="24">
        <f>IF($G62&lt;6,"",ROUND(MEDIAN(60,80+7*$K62/$I62,100),3))</f>
        <v/>
      </c>
      <c r="M62" s="24">
        <f>IF($G62&gt;=6,$L62,IFERROR(IF(INDEX($L$6:$L$79,MATCH($E62&amp;"|2차",$T$6:$T$79,0))="",80,INDEX($L$6:$L$79,MATCH($E62&amp;"|2차",$T$6:$T$79,0))),80))</f>
        <v/>
      </c>
      <c r="N62" s="19" t="n">
        <v>0</v>
      </c>
      <c r="O62" s="24">
        <f>IF($N62="",$M62,ROUND(MEDIAN(60,$M62+$N62,100),3))</f>
        <v/>
      </c>
      <c r="P62" s="20" t="inlineStr">
        <is>
          <t>해당 없음 (제7호 조정은 1차 평가자만)</t>
        </is>
      </c>
      <c r="Q62" s="19">
        <f>IF(COUNTIFS($A$6:$A$79,$A62,$F$6:$F$79,$F62)&gt;1,"★동점","")</f>
        <v/>
      </c>
      <c r="R62" s="19">
        <f>IF($L62="","",RANK.EQ($L62,$L$36:$L$65,1))</f>
        <v/>
      </c>
      <c r="S62" s="19">
        <f>IF($L62="","제5호 - 미실시",IF($R62=$H62,"보존","★불일치"))</f>
        <v/>
      </c>
      <c r="T62" s="20">
        <f>$E62&amp;"|"&amp;$C62</f>
        <v/>
      </c>
      <c r="U62" s="24">
        <f>IF($G62&lt;6,"",80+7*$K62/$I62)</f>
        <v/>
      </c>
      <c r="V62" s="24">
        <f>IF($N62="",$M62,$M62+$N62)</f>
        <v/>
      </c>
    </row>
    <row r="63">
      <c r="A63" s="19" t="inlineStr">
        <is>
          <t>평가군 4</t>
        </is>
      </c>
      <c r="B63" s="19" t="inlineStr">
        <is>
          <t>평가자 4</t>
        </is>
      </c>
      <c r="C63" s="19" t="inlineStr">
        <is>
          <t>2차</t>
        </is>
      </c>
      <c r="D63" s="19" t="inlineStr">
        <is>
          <t>5급</t>
        </is>
      </c>
      <c r="E63" s="19" t="inlineStr">
        <is>
          <t>직원28</t>
        </is>
      </c>
      <c r="F63" s="22" t="n">
        <v>67</v>
      </c>
      <c r="G63" s="19">
        <f>COUNTIF($A$6:$A$79,$A63)</f>
        <v/>
      </c>
      <c r="H63" s="19">
        <f>RANK.EQ($F63,$F$36:$F$65,1)</f>
        <v/>
      </c>
      <c r="I63" s="23">
        <f>INDEX('s(n) 표'!$AQ$5:$AQ$43,MATCH($G63,'s(n) 표'!$A$5:$A$43,0))</f>
        <v/>
      </c>
      <c r="J63" s="17">
        <f>($H63-0.375)/($G63+0.25)</f>
        <v/>
      </c>
      <c r="K63" s="17">
        <f>NORM.S.INV($J63)</f>
        <v/>
      </c>
      <c r="L63" s="24">
        <f>IF($G63&lt;6,"",ROUND(MEDIAN(60,80+7*$K63/$I63,100),3))</f>
        <v/>
      </c>
      <c r="M63" s="24">
        <f>IF($G63&gt;=6,$L63,IFERROR(IF(INDEX($L$6:$L$79,MATCH($E63&amp;"|2차",$T$6:$T$79,0))="",80,INDEX($L$6:$L$79,MATCH($E63&amp;"|2차",$T$6:$T$79,0))),80))</f>
        <v/>
      </c>
      <c r="N63" s="19" t="n">
        <v>0</v>
      </c>
      <c r="O63" s="24">
        <f>IF($N63="",$M63,ROUND(MEDIAN(60,$M63+$N63,100),3))</f>
        <v/>
      </c>
      <c r="P63" s="20" t="inlineStr">
        <is>
          <t>해당 없음 (제7호 조정은 1차 평가자만)</t>
        </is>
      </c>
      <c r="Q63" s="19">
        <f>IF(COUNTIFS($A$6:$A$79,$A63,$F$6:$F$79,$F63)&gt;1,"★동점","")</f>
        <v/>
      </c>
      <c r="R63" s="19">
        <f>IF($L63="","",RANK.EQ($L63,$L$36:$L$65,1))</f>
        <v/>
      </c>
      <c r="S63" s="19">
        <f>IF($L63="","제5호 - 미실시",IF($R63=$H63,"보존","★불일치"))</f>
        <v/>
      </c>
      <c r="T63" s="20">
        <f>$E63&amp;"|"&amp;$C63</f>
        <v/>
      </c>
      <c r="U63" s="24">
        <f>IF($G63&lt;6,"",80+7*$K63/$I63)</f>
        <v/>
      </c>
      <c r="V63" s="24">
        <f>IF($N63="",$M63,$M63+$N63)</f>
        <v/>
      </c>
    </row>
    <row r="64">
      <c r="A64" s="19" t="inlineStr">
        <is>
          <t>평가군 4</t>
        </is>
      </c>
      <c r="B64" s="19" t="inlineStr">
        <is>
          <t>평가자 4</t>
        </is>
      </c>
      <c r="C64" s="19" t="inlineStr">
        <is>
          <t>2차</t>
        </is>
      </c>
      <c r="D64" s="19" t="inlineStr">
        <is>
          <t>5급</t>
        </is>
      </c>
      <c r="E64" s="19" t="inlineStr">
        <is>
          <t>직원29</t>
        </is>
      </c>
      <c r="F64" s="22" t="n">
        <v>65</v>
      </c>
      <c r="G64" s="19">
        <f>COUNTIF($A$6:$A$79,$A64)</f>
        <v/>
      </c>
      <c r="H64" s="19">
        <f>RANK.EQ($F64,$F$36:$F$65,1)</f>
        <v/>
      </c>
      <c r="I64" s="23">
        <f>INDEX('s(n) 표'!$AQ$5:$AQ$43,MATCH($G64,'s(n) 표'!$A$5:$A$43,0))</f>
        <v/>
      </c>
      <c r="J64" s="17">
        <f>($H64-0.375)/($G64+0.25)</f>
        <v/>
      </c>
      <c r="K64" s="17">
        <f>NORM.S.INV($J64)</f>
        <v/>
      </c>
      <c r="L64" s="24">
        <f>IF($G64&lt;6,"",ROUND(MEDIAN(60,80+7*$K64/$I64,100),3))</f>
        <v/>
      </c>
      <c r="M64" s="24">
        <f>IF($G64&gt;=6,$L64,IFERROR(IF(INDEX($L$6:$L$79,MATCH($E64&amp;"|2차",$T$6:$T$79,0))="",80,INDEX($L$6:$L$79,MATCH($E64&amp;"|2차",$T$6:$T$79,0))),80))</f>
        <v/>
      </c>
      <c r="N64" s="19" t="n">
        <v>0</v>
      </c>
      <c r="O64" s="24">
        <f>IF($N64="",$M64,ROUND(MEDIAN(60,$M64+$N64,100),3))</f>
        <v/>
      </c>
      <c r="P64" s="20" t="inlineStr">
        <is>
          <t>해당 없음 (제7호 조정은 1차 평가자만)</t>
        </is>
      </c>
      <c r="Q64" s="19">
        <f>IF(COUNTIFS($A$6:$A$79,$A64,$F$6:$F$79,$F64)&gt;1,"★동점","")</f>
        <v/>
      </c>
      <c r="R64" s="19">
        <f>IF($L64="","",RANK.EQ($L64,$L$36:$L$65,1))</f>
        <v/>
      </c>
      <c r="S64" s="19">
        <f>IF($L64="","제5호 - 미실시",IF($R64=$H64,"보존","★불일치"))</f>
        <v/>
      </c>
      <c r="T64" s="20">
        <f>$E64&amp;"|"&amp;$C64</f>
        <v/>
      </c>
      <c r="U64" s="24">
        <f>IF($G64&lt;6,"",80+7*$K64/$I64)</f>
        <v/>
      </c>
      <c r="V64" s="24">
        <f>IF($N64="",$M64,$M64+$N64)</f>
        <v/>
      </c>
    </row>
    <row r="65">
      <c r="A65" s="19" t="inlineStr">
        <is>
          <t>평가군 4</t>
        </is>
      </c>
      <c r="B65" s="19" t="inlineStr">
        <is>
          <t>평가자 4</t>
        </is>
      </c>
      <c r="C65" s="19" t="inlineStr">
        <is>
          <t>2차</t>
        </is>
      </c>
      <c r="D65" s="19" t="inlineStr">
        <is>
          <t>5급</t>
        </is>
      </c>
      <c r="E65" s="19" t="inlineStr">
        <is>
          <t>직원30</t>
        </is>
      </c>
      <c r="F65" s="22" t="n">
        <v>61</v>
      </c>
      <c r="G65" s="19">
        <f>COUNTIF($A$6:$A$79,$A65)</f>
        <v/>
      </c>
      <c r="H65" s="19">
        <f>RANK.EQ($F65,$F$36:$F$65,1)</f>
        <v/>
      </c>
      <c r="I65" s="23">
        <f>INDEX('s(n) 표'!$AQ$5:$AQ$43,MATCH($G65,'s(n) 표'!$A$5:$A$43,0))</f>
        <v/>
      </c>
      <c r="J65" s="17">
        <f>($H65-0.375)/($G65+0.25)</f>
        <v/>
      </c>
      <c r="K65" s="17">
        <f>NORM.S.INV($J65)</f>
        <v/>
      </c>
      <c r="L65" s="24">
        <f>IF($G65&lt;6,"",ROUND(MEDIAN(60,80+7*$K65/$I65,100),3))</f>
        <v/>
      </c>
      <c r="M65" s="24">
        <f>IF($G65&gt;=6,$L65,IFERROR(IF(INDEX($L$6:$L$79,MATCH($E65&amp;"|2차",$T$6:$T$79,0))="",80,INDEX($L$6:$L$79,MATCH($E65&amp;"|2차",$T$6:$T$79,0))),80))</f>
        <v/>
      </c>
      <c r="N65" s="19" t="n">
        <v>0</v>
      </c>
      <c r="O65" s="24">
        <f>IF($N65="",$M65,ROUND(MEDIAN(60,$M65+$N65,100),3))</f>
        <v/>
      </c>
      <c r="P65" s="20" t="inlineStr">
        <is>
          <t>해당 없음 (제7호 조정은 1차 평가자만)</t>
        </is>
      </c>
      <c r="Q65" s="19">
        <f>IF(COUNTIFS($A$6:$A$79,$A65,$F$6:$F$79,$F65)&gt;1,"★동점","")</f>
        <v/>
      </c>
      <c r="R65" s="19">
        <f>IF($L65="","",RANK.EQ($L65,$L$36:$L$65,1))</f>
        <v/>
      </c>
      <c r="S65" s="19">
        <f>IF($L65="","제5호 - 미실시",IF($R65=$H65,"보존","★불일치"))</f>
        <v/>
      </c>
      <c r="T65" s="20">
        <f>$E65&amp;"|"&amp;$C65</f>
        <v/>
      </c>
      <c r="U65" s="24">
        <f>IF($G65&lt;6,"",80+7*$K65/$I65)</f>
        <v/>
      </c>
      <c r="V65" s="24">
        <f>IF($N65="",$M65,$M65+$N65)</f>
        <v/>
      </c>
    </row>
    <row r="66">
      <c r="A66" s="19" t="inlineStr">
        <is>
          <t>평가군 5</t>
        </is>
      </c>
      <c r="B66" s="19" t="inlineStr">
        <is>
          <t>평가자 5</t>
        </is>
      </c>
      <c r="C66" s="19" t="inlineStr">
        <is>
          <t>1차</t>
        </is>
      </c>
      <c r="D66" s="19" t="inlineStr">
        <is>
          <t>4급</t>
        </is>
      </c>
      <c r="E66" s="19" t="inlineStr">
        <is>
          <t>직원31</t>
        </is>
      </c>
      <c r="F66" s="22" t="n">
        <v>95</v>
      </c>
      <c r="G66" s="19">
        <f>COUNTIF($A$6:$A$79,$A66)</f>
        <v/>
      </c>
      <c r="H66" s="19">
        <f>RANK.EQ($F66,$F$66:$F$72,1)</f>
        <v/>
      </c>
      <c r="I66" s="23">
        <f>INDEX('s(n) 표'!$AQ$5:$AQ$43,MATCH($G66,'s(n) 표'!$A$5:$A$43,0))</f>
        <v/>
      </c>
      <c r="J66" s="17">
        <f>($H66-0.375)/($G66+0.25)</f>
        <v/>
      </c>
      <c r="K66" s="17">
        <f>NORM.S.INV($J66)</f>
        <v/>
      </c>
      <c r="L66" s="24">
        <f>IF($G66&lt;6,"",ROUND(MEDIAN(60,80+7*$K66/$I66,100),3))</f>
        <v/>
      </c>
      <c r="M66" s="24">
        <f>IF($G66&gt;=6,$L66,IFERROR(IF(INDEX($L$6:$L$79,MATCH($E66&amp;"|2차",$T$6:$T$79,0))="",80,INDEX($L$6:$L$79,MATCH($E66&amp;"|2차",$T$6:$T$79,0))),80))</f>
        <v/>
      </c>
      <c r="N66" s="16" t="n">
        <v>3</v>
      </c>
      <c r="O66" s="24">
        <f>IF($N66="",$M66,ROUND(MEDIAN(60,$M66+$N66,100),3))</f>
        <v/>
      </c>
      <c r="P66" s="25" t="inlineStr">
        <is>
          <t>조정 사유 기재</t>
        </is>
      </c>
      <c r="Q66" s="19">
        <f>IF(COUNTIFS($A$6:$A$79,$A66,$F$6:$F$79,$F66)&gt;1,"★동점","")</f>
        <v/>
      </c>
      <c r="R66" s="19">
        <f>IF($L66="","",RANK.EQ($L66,$L$66:$L$72,1))</f>
        <v/>
      </c>
      <c r="S66" s="19">
        <f>IF($L66="","제5호 - 미실시",IF($R66=$H66,"보존","★불일치"))</f>
        <v/>
      </c>
      <c r="T66" s="20">
        <f>$E66&amp;"|"&amp;$C66</f>
        <v/>
      </c>
      <c r="U66" s="24">
        <f>IF($G66&lt;6,"",80+7*$K66/$I66)</f>
        <v/>
      </c>
      <c r="V66" s="24">
        <f>IF($N66="",$M66,$M66+$N66)</f>
        <v/>
      </c>
    </row>
    <row r="67">
      <c r="A67" s="19" t="inlineStr">
        <is>
          <t>평가군 5</t>
        </is>
      </c>
      <c r="B67" s="19" t="inlineStr">
        <is>
          <t>평가자 5</t>
        </is>
      </c>
      <c r="C67" s="19" t="inlineStr">
        <is>
          <t>1차</t>
        </is>
      </c>
      <c r="D67" s="19" t="inlineStr">
        <is>
          <t>4급</t>
        </is>
      </c>
      <c r="E67" s="19" t="inlineStr">
        <is>
          <t>직원32</t>
        </is>
      </c>
      <c r="F67" s="22" t="n">
        <v>91</v>
      </c>
      <c r="G67" s="19">
        <f>COUNTIF($A$6:$A$79,$A67)</f>
        <v/>
      </c>
      <c r="H67" s="19">
        <f>RANK.EQ($F67,$F$66:$F$72,1)</f>
        <v/>
      </c>
      <c r="I67" s="23">
        <f>INDEX('s(n) 표'!$AQ$5:$AQ$43,MATCH($G67,'s(n) 표'!$A$5:$A$43,0))</f>
        <v/>
      </c>
      <c r="J67" s="17">
        <f>($H67-0.375)/($G67+0.25)</f>
        <v/>
      </c>
      <c r="K67" s="17">
        <f>NORM.S.INV($J67)</f>
        <v/>
      </c>
      <c r="L67" s="24">
        <f>IF($G67&lt;6,"",ROUND(MEDIAN(60,80+7*$K67/$I67,100),3))</f>
        <v/>
      </c>
      <c r="M67" s="24">
        <f>IF($G67&gt;=6,$L67,IFERROR(IF(INDEX($L$6:$L$79,MATCH($E67&amp;"|2차",$T$6:$T$79,0))="",80,INDEX($L$6:$L$79,MATCH($E67&amp;"|2차",$T$6:$T$79,0))),80))</f>
        <v/>
      </c>
      <c r="N67" s="16" t="n">
        <v>2</v>
      </c>
      <c r="O67" s="24">
        <f>IF($N67="",$M67,ROUND(MEDIAN(60,$M67+$N67,100),3))</f>
        <v/>
      </c>
      <c r="P67" s="25" t="inlineStr">
        <is>
          <t>조정 사유 기재</t>
        </is>
      </c>
      <c r="Q67" s="19">
        <f>IF(COUNTIFS($A$6:$A$79,$A67,$F$6:$F$79,$F67)&gt;1,"★동점","")</f>
        <v/>
      </c>
      <c r="R67" s="19">
        <f>IF($L67="","",RANK.EQ($L67,$L$66:$L$72,1))</f>
        <v/>
      </c>
      <c r="S67" s="19">
        <f>IF($L67="","제5호 - 미실시",IF($R67=$H67,"보존","★불일치"))</f>
        <v/>
      </c>
      <c r="T67" s="20">
        <f>$E67&amp;"|"&amp;$C67</f>
        <v/>
      </c>
      <c r="U67" s="24">
        <f>IF($G67&lt;6,"",80+7*$K67/$I67)</f>
        <v/>
      </c>
      <c r="V67" s="24">
        <f>IF($N67="",$M67,$M67+$N67)</f>
        <v/>
      </c>
    </row>
    <row r="68">
      <c r="A68" s="19" t="inlineStr">
        <is>
          <t>평가군 5</t>
        </is>
      </c>
      <c r="B68" s="19" t="inlineStr">
        <is>
          <t>평가자 5</t>
        </is>
      </c>
      <c r="C68" s="19" t="inlineStr">
        <is>
          <t>1차</t>
        </is>
      </c>
      <c r="D68" s="19" t="inlineStr">
        <is>
          <t>4급</t>
        </is>
      </c>
      <c r="E68" s="19" t="inlineStr">
        <is>
          <t>직원33</t>
        </is>
      </c>
      <c r="F68" s="22" t="n">
        <v>87</v>
      </c>
      <c r="G68" s="19">
        <f>COUNTIF($A$6:$A$79,$A68)</f>
        <v/>
      </c>
      <c r="H68" s="19">
        <f>RANK.EQ($F68,$F$66:$F$72,1)</f>
        <v/>
      </c>
      <c r="I68" s="23">
        <f>INDEX('s(n) 표'!$AQ$5:$AQ$43,MATCH($G68,'s(n) 표'!$A$5:$A$43,0))</f>
        <v/>
      </c>
      <c r="J68" s="17">
        <f>($H68-0.375)/($G68+0.25)</f>
        <v/>
      </c>
      <c r="K68" s="17">
        <f>NORM.S.INV($J68)</f>
        <v/>
      </c>
      <c r="L68" s="24">
        <f>IF($G68&lt;6,"",ROUND(MEDIAN(60,80+7*$K68/$I68,100),3))</f>
        <v/>
      </c>
      <c r="M68" s="24">
        <f>IF($G68&gt;=6,$L68,IFERROR(IF(INDEX($L$6:$L$79,MATCH($E68&amp;"|2차",$T$6:$T$79,0))="",80,INDEX($L$6:$L$79,MATCH($E68&amp;"|2차",$T$6:$T$79,0))),80))</f>
        <v/>
      </c>
      <c r="N68" s="16" t="n">
        <v>0</v>
      </c>
      <c r="O68" s="24">
        <f>IF($N68="",$M68,ROUND(MEDIAN(60,$M68+$N68,100),3))</f>
        <v/>
      </c>
      <c r="P68" s="25" t="inlineStr"/>
      <c r="Q68" s="19">
        <f>IF(COUNTIFS($A$6:$A$79,$A68,$F$6:$F$79,$F68)&gt;1,"★동점","")</f>
        <v/>
      </c>
      <c r="R68" s="19">
        <f>IF($L68="","",RANK.EQ($L68,$L$66:$L$72,1))</f>
        <v/>
      </c>
      <c r="S68" s="19">
        <f>IF($L68="","제5호 - 미실시",IF($R68=$H68,"보존","★불일치"))</f>
        <v/>
      </c>
      <c r="T68" s="20">
        <f>$E68&amp;"|"&amp;$C68</f>
        <v/>
      </c>
      <c r="U68" s="24">
        <f>IF($G68&lt;6,"",80+7*$K68/$I68)</f>
        <v/>
      </c>
      <c r="V68" s="24">
        <f>IF($N68="",$M68,$M68+$N68)</f>
        <v/>
      </c>
    </row>
    <row r="69">
      <c r="A69" s="19" t="inlineStr">
        <is>
          <t>평가군 5</t>
        </is>
      </c>
      <c r="B69" s="19" t="inlineStr">
        <is>
          <t>평가자 5</t>
        </is>
      </c>
      <c r="C69" s="19" t="inlineStr">
        <is>
          <t>1차</t>
        </is>
      </c>
      <c r="D69" s="19" t="inlineStr">
        <is>
          <t>4급</t>
        </is>
      </c>
      <c r="E69" s="19" t="inlineStr">
        <is>
          <t>직원34</t>
        </is>
      </c>
      <c r="F69" s="22" t="n">
        <v>83</v>
      </c>
      <c r="G69" s="19">
        <f>COUNTIF($A$6:$A$79,$A69)</f>
        <v/>
      </c>
      <c r="H69" s="19">
        <f>RANK.EQ($F69,$F$66:$F$72,1)</f>
        <v/>
      </c>
      <c r="I69" s="23">
        <f>INDEX('s(n) 표'!$AQ$5:$AQ$43,MATCH($G69,'s(n) 표'!$A$5:$A$43,0))</f>
        <v/>
      </c>
      <c r="J69" s="17">
        <f>($H69-0.375)/($G69+0.25)</f>
        <v/>
      </c>
      <c r="K69" s="17">
        <f>NORM.S.INV($J69)</f>
        <v/>
      </c>
      <c r="L69" s="24">
        <f>IF($G69&lt;6,"",ROUND(MEDIAN(60,80+7*$K69/$I69,100),3))</f>
        <v/>
      </c>
      <c r="M69" s="24">
        <f>IF($G69&gt;=6,$L69,IFERROR(IF(INDEX($L$6:$L$79,MATCH($E69&amp;"|2차",$T$6:$T$79,0))="",80,INDEX($L$6:$L$79,MATCH($E69&amp;"|2차",$T$6:$T$79,0))),80))</f>
        <v/>
      </c>
      <c r="N69" s="16" t="n">
        <v>0</v>
      </c>
      <c r="O69" s="24">
        <f>IF($N69="",$M69,ROUND(MEDIAN(60,$M69+$N69,100),3))</f>
        <v/>
      </c>
      <c r="P69" s="25" t="inlineStr"/>
      <c r="Q69" s="19">
        <f>IF(COUNTIFS($A$6:$A$79,$A69,$F$6:$F$79,$F69)&gt;1,"★동점","")</f>
        <v/>
      </c>
      <c r="R69" s="19">
        <f>IF($L69="","",RANK.EQ($L69,$L$66:$L$72,1))</f>
        <v/>
      </c>
      <c r="S69" s="19">
        <f>IF($L69="","제5호 - 미실시",IF($R69=$H69,"보존","★불일치"))</f>
        <v/>
      </c>
      <c r="T69" s="20">
        <f>$E69&amp;"|"&amp;$C69</f>
        <v/>
      </c>
      <c r="U69" s="24">
        <f>IF($G69&lt;6,"",80+7*$K69/$I69)</f>
        <v/>
      </c>
      <c r="V69" s="24">
        <f>IF($N69="",$M69,$M69+$N69)</f>
        <v/>
      </c>
    </row>
    <row r="70">
      <c r="A70" s="19" t="inlineStr">
        <is>
          <t>평가군 5</t>
        </is>
      </c>
      <c r="B70" s="19" t="inlineStr">
        <is>
          <t>평가자 5</t>
        </is>
      </c>
      <c r="C70" s="19" t="inlineStr">
        <is>
          <t>1차</t>
        </is>
      </c>
      <c r="D70" s="19" t="inlineStr">
        <is>
          <t>4급</t>
        </is>
      </c>
      <c r="E70" s="19" t="inlineStr">
        <is>
          <t>직원35</t>
        </is>
      </c>
      <c r="F70" s="22" t="n">
        <v>79</v>
      </c>
      <c r="G70" s="19">
        <f>COUNTIF($A$6:$A$79,$A70)</f>
        <v/>
      </c>
      <c r="H70" s="19">
        <f>RANK.EQ($F70,$F$66:$F$72,1)</f>
        <v/>
      </c>
      <c r="I70" s="23">
        <f>INDEX('s(n) 표'!$AQ$5:$AQ$43,MATCH($G70,'s(n) 표'!$A$5:$A$43,0))</f>
        <v/>
      </c>
      <c r="J70" s="17">
        <f>($H70-0.375)/($G70+0.25)</f>
        <v/>
      </c>
      <c r="K70" s="17">
        <f>NORM.S.INV($J70)</f>
        <v/>
      </c>
      <c r="L70" s="24">
        <f>IF($G70&lt;6,"",ROUND(MEDIAN(60,80+7*$K70/$I70,100),3))</f>
        <v/>
      </c>
      <c r="M70" s="24">
        <f>IF($G70&gt;=6,$L70,IFERROR(IF(INDEX($L$6:$L$79,MATCH($E70&amp;"|2차",$T$6:$T$79,0))="",80,INDEX($L$6:$L$79,MATCH($E70&amp;"|2차",$T$6:$T$79,0))),80))</f>
        <v/>
      </c>
      <c r="N70" s="16" t="n">
        <v>0</v>
      </c>
      <c r="O70" s="24">
        <f>IF($N70="",$M70,ROUND(MEDIAN(60,$M70+$N70,100),3))</f>
        <v/>
      </c>
      <c r="P70" s="25" t="inlineStr"/>
      <c r="Q70" s="19">
        <f>IF(COUNTIFS($A$6:$A$79,$A70,$F$6:$F$79,$F70)&gt;1,"★동점","")</f>
        <v/>
      </c>
      <c r="R70" s="19">
        <f>IF($L70="","",RANK.EQ($L70,$L$66:$L$72,1))</f>
        <v/>
      </c>
      <c r="S70" s="19">
        <f>IF($L70="","제5호 - 미실시",IF($R70=$H70,"보존","★불일치"))</f>
        <v/>
      </c>
      <c r="T70" s="20">
        <f>$E70&amp;"|"&amp;$C70</f>
        <v/>
      </c>
      <c r="U70" s="24">
        <f>IF($G70&lt;6,"",80+7*$K70/$I70)</f>
        <v/>
      </c>
      <c r="V70" s="24">
        <f>IF($N70="",$M70,$M70+$N70)</f>
        <v/>
      </c>
    </row>
    <row r="71">
      <c r="A71" s="19" t="inlineStr">
        <is>
          <t>평가군 5</t>
        </is>
      </c>
      <c r="B71" s="19" t="inlineStr">
        <is>
          <t>평가자 5</t>
        </is>
      </c>
      <c r="C71" s="19" t="inlineStr">
        <is>
          <t>1차</t>
        </is>
      </c>
      <c r="D71" s="19" t="inlineStr">
        <is>
          <t>4급</t>
        </is>
      </c>
      <c r="E71" s="19" t="inlineStr">
        <is>
          <t>직원36</t>
        </is>
      </c>
      <c r="F71" s="22" t="n">
        <v>75</v>
      </c>
      <c r="G71" s="19">
        <f>COUNTIF($A$6:$A$79,$A71)</f>
        <v/>
      </c>
      <c r="H71" s="19">
        <f>RANK.EQ($F71,$F$66:$F$72,1)</f>
        <v/>
      </c>
      <c r="I71" s="23">
        <f>INDEX('s(n) 표'!$AQ$5:$AQ$43,MATCH($G71,'s(n) 표'!$A$5:$A$43,0))</f>
        <v/>
      </c>
      <c r="J71" s="17">
        <f>($H71-0.375)/($G71+0.25)</f>
        <v/>
      </c>
      <c r="K71" s="17">
        <f>NORM.S.INV($J71)</f>
        <v/>
      </c>
      <c r="L71" s="24">
        <f>IF($G71&lt;6,"",ROUND(MEDIAN(60,80+7*$K71/$I71,100),3))</f>
        <v/>
      </c>
      <c r="M71" s="24">
        <f>IF($G71&gt;=6,$L71,IFERROR(IF(INDEX($L$6:$L$79,MATCH($E71&amp;"|2차",$T$6:$T$79,0))="",80,INDEX($L$6:$L$79,MATCH($E71&amp;"|2차",$T$6:$T$79,0))),80))</f>
        <v/>
      </c>
      <c r="N71" s="16" t="n">
        <v>-2</v>
      </c>
      <c r="O71" s="24">
        <f>IF($N71="",$M71,ROUND(MEDIAN(60,$M71+$N71,100),3))</f>
        <v/>
      </c>
      <c r="P71" s="25" t="inlineStr">
        <is>
          <t>조정 사유 기재</t>
        </is>
      </c>
      <c r="Q71" s="19">
        <f>IF(COUNTIFS($A$6:$A$79,$A71,$F$6:$F$79,$F71)&gt;1,"★동점","")</f>
        <v/>
      </c>
      <c r="R71" s="19">
        <f>IF($L71="","",RANK.EQ($L71,$L$66:$L$72,1))</f>
        <v/>
      </c>
      <c r="S71" s="19">
        <f>IF($L71="","제5호 - 미실시",IF($R71=$H71,"보존","★불일치"))</f>
        <v/>
      </c>
      <c r="T71" s="20">
        <f>$E71&amp;"|"&amp;$C71</f>
        <v/>
      </c>
      <c r="U71" s="24">
        <f>IF($G71&lt;6,"",80+7*$K71/$I71)</f>
        <v/>
      </c>
      <c r="V71" s="24">
        <f>IF($N71="",$M71,$M71+$N71)</f>
        <v/>
      </c>
    </row>
    <row r="72">
      <c r="A72" s="19" t="inlineStr">
        <is>
          <t>평가군 5</t>
        </is>
      </c>
      <c r="B72" s="19" t="inlineStr">
        <is>
          <t>평가자 5</t>
        </is>
      </c>
      <c r="C72" s="19" t="inlineStr">
        <is>
          <t>1차</t>
        </is>
      </c>
      <c r="D72" s="19" t="inlineStr">
        <is>
          <t>4급</t>
        </is>
      </c>
      <c r="E72" s="19" t="inlineStr">
        <is>
          <t>직원37</t>
        </is>
      </c>
      <c r="F72" s="22" t="n">
        <v>71</v>
      </c>
      <c r="G72" s="19">
        <f>COUNTIF($A$6:$A$79,$A72)</f>
        <v/>
      </c>
      <c r="H72" s="19">
        <f>RANK.EQ($F72,$F$66:$F$72,1)</f>
        <v/>
      </c>
      <c r="I72" s="23">
        <f>INDEX('s(n) 표'!$AQ$5:$AQ$43,MATCH($G72,'s(n) 표'!$A$5:$A$43,0))</f>
        <v/>
      </c>
      <c r="J72" s="17">
        <f>($H72-0.375)/($G72+0.25)</f>
        <v/>
      </c>
      <c r="K72" s="17">
        <f>NORM.S.INV($J72)</f>
        <v/>
      </c>
      <c r="L72" s="24">
        <f>IF($G72&lt;6,"",ROUND(MEDIAN(60,80+7*$K72/$I72,100),3))</f>
        <v/>
      </c>
      <c r="M72" s="24">
        <f>IF($G72&gt;=6,$L72,IFERROR(IF(INDEX($L$6:$L$79,MATCH($E72&amp;"|2차",$T$6:$T$79,0))="",80,INDEX($L$6:$L$79,MATCH($E72&amp;"|2차",$T$6:$T$79,0))),80))</f>
        <v/>
      </c>
      <c r="N72" s="16" t="n">
        <v>-3</v>
      </c>
      <c r="O72" s="24">
        <f>IF($N72="",$M72,ROUND(MEDIAN(60,$M72+$N72,100),3))</f>
        <v/>
      </c>
      <c r="P72" s="25" t="inlineStr">
        <is>
          <t>조정 사유 기재</t>
        </is>
      </c>
      <c r="Q72" s="19">
        <f>IF(COUNTIFS($A$6:$A$79,$A72,$F$6:$F$79,$F72)&gt;1,"★동점","")</f>
        <v/>
      </c>
      <c r="R72" s="19">
        <f>IF($L72="","",RANK.EQ($L72,$L$66:$L$72,1))</f>
        <v/>
      </c>
      <c r="S72" s="19">
        <f>IF($L72="","제5호 - 미실시",IF($R72=$H72,"보존","★불일치"))</f>
        <v/>
      </c>
      <c r="T72" s="20">
        <f>$E72&amp;"|"&amp;$C72</f>
        <v/>
      </c>
      <c r="U72" s="24">
        <f>IF($G72&lt;6,"",80+7*$K72/$I72)</f>
        <v/>
      </c>
      <c r="V72" s="24">
        <f>IF($N72="",$M72,$M72+$N72)</f>
        <v/>
      </c>
    </row>
    <row r="73">
      <c r="A73" s="19" t="inlineStr">
        <is>
          <t>평가군 6</t>
        </is>
      </c>
      <c r="B73" s="19" t="inlineStr">
        <is>
          <t>평가자 6</t>
        </is>
      </c>
      <c r="C73" s="19" t="inlineStr">
        <is>
          <t>2차</t>
        </is>
      </c>
      <c r="D73" s="19" t="inlineStr">
        <is>
          <t>4급</t>
        </is>
      </c>
      <c r="E73" s="19" t="inlineStr">
        <is>
          <t>직원31</t>
        </is>
      </c>
      <c r="F73" s="22" t="n">
        <v>88</v>
      </c>
      <c r="G73" s="19">
        <f>COUNTIF($A$6:$A$79,$A73)</f>
        <v/>
      </c>
      <c r="H73" s="19">
        <f>RANK.EQ($F73,$F$73:$F$79,1)</f>
        <v/>
      </c>
      <c r="I73" s="23">
        <f>INDEX('s(n) 표'!$AQ$5:$AQ$43,MATCH($G73,'s(n) 표'!$A$5:$A$43,0))</f>
        <v/>
      </c>
      <c r="J73" s="17">
        <f>($H73-0.375)/($G73+0.25)</f>
        <v/>
      </c>
      <c r="K73" s="17">
        <f>NORM.S.INV($J73)</f>
        <v/>
      </c>
      <c r="L73" s="24">
        <f>IF($G73&lt;6,"",ROUND(MEDIAN(60,80+7*$K73/$I73,100),3))</f>
        <v/>
      </c>
      <c r="M73" s="24">
        <f>IF($G73&gt;=6,$L73,IFERROR(IF(INDEX($L$6:$L$79,MATCH($E73&amp;"|2차",$T$6:$T$79,0))="",80,INDEX($L$6:$L$79,MATCH($E73&amp;"|2차",$T$6:$T$79,0))),80))</f>
        <v/>
      </c>
      <c r="N73" s="19" t="n">
        <v>0</v>
      </c>
      <c r="O73" s="24">
        <f>IF($N73="",$M73,ROUND(MEDIAN(60,$M73+$N73,100),3))</f>
        <v/>
      </c>
      <c r="P73" s="20" t="inlineStr">
        <is>
          <t>해당 없음 (제7호 조정은 1차 평가자만)</t>
        </is>
      </c>
      <c r="Q73" s="19">
        <f>IF(COUNTIFS($A$6:$A$79,$A73,$F$6:$F$79,$F73)&gt;1,"★동점","")</f>
        <v/>
      </c>
      <c r="R73" s="19">
        <f>IF($L73="","",RANK.EQ($L73,$L$73:$L$79,1))</f>
        <v/>
      </c>
      <c r="S73" s="19">
        <f>IF($L73="","제5호 - 미실시",IF($R73=$H73,"보존","★불일치"))</f>
        <v/>
      </c>
      <c r="T73" s="20">
        <f>$E73&amp;"|"&amp;$C73</f>
        <v/>
      </c>
      <c r="U73" s="24">
        <f>IF($G73&lt;6,"",80+7*$K73/$I73)</f>
        <v/>
      </c>
      <c r="V73" s="24">
        <f>IF($N73="",$M73,$M73+$N73)</f>
        <v/>
      </c>
    </row>
    <row r="74">
      <c r="A74" s="19" t="inlineStr">
        <is>
          <t>평가군 6</t>
        </is>
      </c>
      <c r="B74" s="19" t="inlineStr">
        <is>
          <t>평가자 6</t>
        </is>
      </c>
      <c r="C74" s="19" t="inlineStr">
        <is>
          <t>2차</t>
        </is>
      </c>
      <c r="D74" s="19" t="inlineStr">
        <is>
          <t>4급</t>
        </is>
      </c>
      <c r="E74" s="19" t="inlineStr">
        <is>
          <t>직원32</t>
        </is>
      </c>
      <c r="F74" s="22" t="n">
        <v>85</v>
      </c>
      <c r="G74" s="19">
        <f>COUNTIF($A$6:$A$79,$A74)</f>
        <v/>
      </c>
      <c r="H74" s="19">
        <f>RANK.EQ($F74,$F$73:$F$79,1)</f>
        <v/>
      </c>
      <c r="I74" s="23">
        <f>INDEX('s(n) 표'!$AQ$5:$AQ$43,MATCH($G74,'s(n) 표'!$A$5:$A$43,0))</f>
        <v/>
      </c>
      <c r="J74" s="17">
        <f>($H74-0.375)/($G74+0.25)</f>
        <v/>
      </c>
      <c r="K74" s="17">
        <f>NORM.S.INV($J74)</f>
        <v/>
      </c>
      <c r="L74" s="24">
        <f>IF($G74&lt;6,"",ROUND(MEDIAN(60,80+7*$K74/$I74,100),3))</f>
        <v/>
      </c>
      <c r="M74" s="24">
        <f>IF($G74&gt;=6,$L74,IFERROR(IF(INDEX($L$6:$L$79,MATCH($E74&amp;"|2차",$T$6:$T$79,0))="",80,INDEX($L$6:$L$79,MATCH($E74&amp;"|2차",$T$6:$T$79,0))),80))</f>
        <v/>
      </c>
      <c r="N74" s="19" t="n">
        <v>0</v>
      </c>
      <c r="O74" s="24">
        <f>IF($N74="",$M74,ROUND(MEDIAN(60,$M74+$N74,100),3))</f>
        <v/>
      </c>
      <c r="P74" s="20" t="inlineStr">
        <is>
          <t>해당 없음 (제7호 조정은 1차 평가자만)</t>
        </is>
      </c>
      <c r="Q74" s="19">
        <f>IF(COUNTIFS($A$6:$A$79,$A74,$F$6:$F$79,$F74)&gt;1,"★동점","")</f>
        <v/>
      </c>
      <c r="R74" s="19">
        <f>IF($L74="","",RANK.EQ($L74,$L$73:$L$79,1))</f>
        <v/>
      </c>
      <c r="S74" s="19">
        <f>IF($L74="","제5호 - 미실시",IF($R74=$H74,"보존","★불일치"))</f>
        <v/>
      </c>
      <c r="T74" s="20">
        <f>$E74&amp;"|"&amp;$C74</f>
        <v/>
      </c>
      <c r="U74" s="24">
        <f>IF($G74&lt;6,"",80+7*$K74/$I74)</f>
        <v/>
      </c>
      <c r="V74" s="24">
        <f>IF($N74="",$M74,$M74+$N74)</f>
        <v/>
      </c>
    </row>
    <row r="75">
      <c r="A75" s="19" t="inlineStr">
        <is>
          <t>평가군 6</t>
        </is>
      </c>
      <c r="B75" s="19" t="inlineStr">
        <is>
          <t>평가자 6</t>
        </is>
      </c>
      <c r="C75" s="19" t="inlineStr">
        <is>
          <t>2차</t>
        </is>
      </c>
      <c r="D75" s="19" t="inlineStr">
        <is>
          <t>4급</t>
        </is>
      </c>
      <c r="E75" s="19" t="inlineStr">
        <is>
          <t>직원33</t>
        </is>
      </c>
      <c r="F75" s="22" t="n">
        <v>90</v>
      </c>
      <c r="G75" s="19">
        <f>COUNTIF($A$6:$A$79,$A75)</f>
        <v/>
      </c>
      <c r="H75" s="19">
        <f>RANK.EQ($F75,$F$73:$F$79,1)</f>
        <v/>
      </c>
      <c r="I75" s="23">
        <f>INDEX('s(n) 표'!$AQ$5:$AQ$43,MATCH($G75,'s(n) 표'!$A$5:$A$43,0))</f>
        <v/>
      </c>
      <c r="J75" s="17">
        <f>($H75-0.375)/($G75+0.25)</f>
        <v/>
      </c>
      <c r="K75" s="17">
        <f>NORM.S.INV($J75)</f>
        <v/>
      </c>
      <c r="L75" s="24">
        <f>IF($G75&lt;6,"",ROUND(MEDIAN(60,80+7*$K75/$I75,100),3))</f>
        <v/>
      </c>
      <c r="M75" s="24">
        <f>IF($G75&gt;=6,$L75,IFERROR(IF(INDEX($L$6:$L$79,MATCH($E75&amp;"|2차",$T$6:$T$79,0))="",80,INDEX($L$6:$L$79,MATCH($E75&amp;"|2차",$T$6:$T$79,0))),80))</f>
        <v/>
      </c>
      <c r="N75" s="19" t="n">
        <v>0</v>
      </c>
      <c r="O75" s="24">
        <f>IF($N75="",$M75,ROUND(MEDIAN(60,$M75+$N75,100),3))</f>
        <v/>
      </c>
      <c r="P75" s="20" t="inlineStr">
        <is>
          <t>해당 없음 (제7호 조정은 1차 평가자만)</t>
        </is>
      </c>
      <c r="Q75" s="19">
        <f>IF(COUNTIFS($A$6:$A$79,$A75,$F$6:$F$79,$F75)&gt;1,"★동점","")</f>
        <v/>
      </c>
      <c r="R75" s="19">
        <f>IF($L75="","",RANK.EQ($L75,$L$73:$L$79,1))</f>
        <v/>
      </c>
      <c r="S75" s="19">
        <f>IF($L75="","제5호 - 미실시",IF($R75=$H75,"보존","★불일치"))</f>
        <v/>
      </c>
      <c r="T75" s="20">
        <f>$E75&amp;"|"&amp;$C75</f>
        <v/>
      </c>
      <c r="U75" s="24">
        <f>IF($G75&lt;6,"",80+7*$K75/$I75)</f>
        <v/>
      </c>
      <c r="V75" s="24">
        <f>IF($N75="",$M75,$M75+$N75)</f>
        <v/>
      </c>
    </row>
    <row r="76">
      <c r="A76" s="19" t="inlineStr">
        <is>
          <t>평가군 6</t>
        </is>
      </c>
      <c r="B76" s="19" t="inlineStr">
        <is>
          <t>평가자 6</t>
        </is>
      </c>
      <c r="C76" s="19" t="inlineStr">
        <is>
          <t>2차</t>
        </is>
      </c>
      <c r="D76" s="19" t="inlineStr">
        <is>
          <t>4급</t>
        </is>
      </c>
      <c r="E76" s="19" t="inlineStr">
        <is>
          <t>직원34</t>
        </is>
      </c>
      <c r="F76" s="22" t="n">
        <v>80</v>
      </c>
      <c r="G76" s="19">
        <f>COUNTIF($A$6:$A$79,$A76)</f>
        <v/>
      </c>
      <c r="H76" s="19">
        <f>RANK.EQ($F76,$F$73:$F$79,1)</f>
        <v/>
      </c>
      <c r="I76" s="23">
        <f>INDEX('s(n) 표'!$AQ$5:$AQ$43,MATCH($G76,'s(n) 표'!$A$5:$A$43,0))</f>
        <v/>
      </c>
      <c r="J76" s="17">
        <f>($H76-0.375)/($G76+0.25)</f>
        <v/>
      </c>
      <c r="K76" s="17">
        <f>NORM.S.INV($J76)</f>
        <v/>
      </c>
      <c r="L76" s="24">
        <f>IF($G76&lt;6,"",ROUND(MEDIAN(60,80+7*$K76/$I76,100),3))</f>
        <v/>
      </c>
      <c r="M76" s="24">
        <f>IF($G76&gt;=6,$L76,IFERROR(IF(INDEX($L$6:$L$79,MATCH($E76&amp;"|2차",$T$6:$T$79,0))="",80,INDEX($L$6:$L$79,MATCH($E76&amp;"|2차",$T$6:$T$79,0))),80))</f>
        <v/>
      </c>
      <c r="N76" s="19" t="n">
        <v>0</v>
      </c>
      <c r="O76" s="24">
        <f>IF($N76="",$M76,ROUND(MEDIAN(60,$M76+$N76,100),3))</f>
        <v/>
      </c>
      <c r="P76" s="20" t="inlineStr">
        <is>
          <t>해당 없음 (제7호 조정은 1차 평가자만)</t>
        </is>
      </c>
      <c r="Q76" s="19">
        <f>IF(COUNTIFS($A$6:$A$79,$A76,$F$6:$F$79,$F76)&gt;1,"★동점","")</f>
        <v/>
      </c>
      <c r="R76" s="19">
        <f>IF($L76="","",RANK.EQ($L76,$L$73:$L$79,1))</f>
        <v/>
      </c>
      <c r="S76" s="19">
        <f>IF($L76="","제5호 - 미실시",IF($R76=$H76,"보존","★불일치"))</f>
        <v/>
      </c>
      <c r="T76" s="20">
        <f>$E76&amp;"|"&amp;$C76</f>
        <v/>
      </c>
      <c r="U76" s="24">
        <f>IF($G76&lt;6,"",80+7*$K76/$I76)</f>
        <v/>
      </c>
      <c r="V76" s="24">
        <f>IF($N76="",$M76,$M76+$N76)</f>
        <v/>
      </c>
    </row>
    <row r="77">
      <c r="A77" s="19" t="inlineStr">
        <is>
          <t>평가군 6</t>
        </is>
      </c>
      <c r="B77" s="19" t="inlineStr">
        <is>
          <t>평가자 6</t>
        </is>
      </c>
      <c r="C77" s="19" t="inlineStr">
        <is>
          <t>2차</t>
        </is>
      </c>
      <c r="D77" s="19" t="inlineStr">
        <is>
          <t>4급</t>
        </is>
      </c>
      <c r="E77" s="19" t="inlineStr">
        <is>
          <t>직원35</t>
        </is>
      </c>
      <c r="F77" s="22" t="n">
        <v>77</v>
      </c>
      <c r="G77" s="19">
        <f>COUNTIF($A$6:$A$79,$A77)</f>
        <v/>
      </c>
      <c r="H77" s="19">
        <f>RANK.EQ($F77,$F$73:$F$79,1)</f>
        <v/>
      </c>
      <c r="I77" s="23">
        <f>INDEX('s(n) 표'!$AQ$5:$AQ$43,MATCH($G77,'s(n) 표'!$A$5:$A$43,0))</f>
        <v/>
      </c>
      <c r="J77" s="17">
        <f>($H77-0.375)/($G77+0.25)</f>
        <v/>
      </c>
      <c r="K77" s="17">
        <f>NORM.S.INV($J77)</f>
        <v/>
      </c>
      <c r="L77" s="24">
        <f>IF($G77&lt;6,"",ROUND(MEDIAN(60,80+7*$K77/$I77,100),3))</f>
        <v/>
      </c>
      <c r="M77" s="24">
        <f>IF($G77&gt;=6,$L77,IFERROR(IF(INDEX($L$6:$L$79,MATCH($E77&amp;"|2차",$T$6:$T$79,0))="",80,INDEX($L$6:$L$79,MATCH($E77&amp;"|2차",$T$6:$T$79,0))),80))</f>
        <v/>
      </c>
      <c r="N77" s="19" t="n">
        <v>0</v>
      </c>
      <c r="O77" s="24">
        <f>IF($N77="",$M77,ROUND(MEDIAN(60,$M77+$N77,100),3))</f>
        <v/>
      </c>
      <c r="P77" s="20" t="inlineStr">
        <is>
          <t>해당 없음 (제7호 조정은 1차 평가자만)</t>
        </is>
      </c>
      <c r="Q77" s="19">
        <f>IF(COUNTIFS($A$6:$A$79,$A77,$F$6:$F$79,$F77)&gt;1,"★동점","")</f>
        <v/>
      </c>
      <c r="R77" s="19">
        <f>IF($L77="","",RANK.EQ($L77,$L$73:$L$79,1))</f>
        <v/>
      </c>
      <c r="S77" s="19">
        <f>IF($L77="","제5호 - 미실시",IF($R77=$H77,"보존","★불일치"))</f>
        <v/>
      </c>
      <c r="T77" s="20">
        <f>$E77&amp;"|"&amp;$C77</f>
        <v/>
      </c>
      <c r="U77" s="24">
        <f>IF($G77&lt;6,"",80+7*$K77/$I77)</f>
        <v/>
      </c>
      <c r="V77" s="24">
        <f>IF($N77="",$M77,$M77+$N77)</f>
        <v/>
      </c>
    </row>
    <row r="78">
      <c r="A78" s="19" t="inlineStr">
        <is>
          <t>평가군 6</t>
        </is>
      </c>
      <c r="B78" s="19" t="inlineStr">
        <is>
          <t>평가자 6</t>
        </is>
      </c>
      <c r="C78" s="19" t="inlineStr">
        <is>
          <t>2차</t>
        </is>
      </c>
      <c r="D78" s="19" t="inlineStr">
        <is>
          <t>4급</t>
        </is>
      </c>
      <c r="E78" s="19" t="inlineStr">
        <is>
          <t>직원36</t>
        </is>
      </c>
      <c r="F78" s="22" t="n">
        <v>83</v>
      </c>
      <c r="G78" s="19">
        <f>COUNTIF($A$6:$A$79,$A78)</f>
        <v/>
      </c>
      <c r="H78" s="19">
        <f>RANK.EQ($F78,$F$73:$F$79,1)</f>
        <v/>
      </c>
      <c r="I78" s="23">
        <f>INDEX('s(n) 표'!$AQ$5:$AQ$43,MATCH($G78,'s(n) 표'!$A$5:$A$43,0))</f>
        <v/>
      </c>
      <c r="J78" s="17">
        <f>($H78-0.375)/($G78+0.25)</f>
        <v/>
      </c>
      <c r="K78" s="17">
        <f>NORM.S.INV($J78)</f>
        <v/>
      </c>
      <c r="L78" s="24">
        <f>IF($G78&lt;6,"",ROUND(MEDIAN(60,80+7*$K78/$I78,100),3))</f>
        <v/>
      </c>
      <c r="M78" s="24">
        <f>IF($G78&gt;=6,$L78,IFERROR(IF(INDEX($L$6:$L$79,MATCH($E78&amp;"|2차",$T$6:$T$79,0))="",80,INDEX($L$6:$L$79,MATCH($E78&amp;"|2차",$T$6:$T$79,0))),80))</f>
        <v/>
      </c>
      <c r="N78" s="19" t="n">
        <v>0</v>
      </c>
      <c r="O78" s="24">
        <f>IF($N78="",$M78,ROUND(MEDIAN(60,$M78+$N78,100),3))</f>
        <v/>
      </c>
      <c r="P78" s="20" t="inlineStr">
        <is>
          <t>해당 없음 (제7호 조정은 1차 평가자만)</t>
        </is>
      </c>
      <c r="Q78" s="19">
        <f>IF(COUNTIFS($A$6:$A$79,$A78,$F$6:$F$79,$F78)&gt;1,"★동점","")</f>
        <v/>
      </c>
      <c r="R78" s="19">
        <f>IF($L78="","",RANK.EQ($L78,$L$73:$L$79,1))</f>
        <v/>
      </c>
      <c r="S78" s="19">
        <f>IF($L78="","제5호 - 미실시",IF($R78=$H78,"보존","★불일치"))</f>
        <v/>
      </c>
      <c r="T78" s="20">
        <f>$E78&amp;"|"&amp;$C78</f>
        <v/>
      </c>
      <c r="U78" s="24">
        <f>IF($G78&lt;6,"",80+7*$K78/$I78)</f>
        <v/>
      </c>
      <c r="V78" s="24">
        <f>IF($N78="",$M78,$M78+$N78)</f>
        <v/>
      </c>
    </row>
    <row r="79">
      <c r="A79" s="19" t="inlineStr">
        <is>
          <t>평가군 6</t>
        </is>
      </c>
      <c r="B79" s="19" t="inlineStr">
        <is>
          <t>평가자 6</t>
        </is>
      </c>
      <c r="C79" s="19" t="inlineStr">
        <is>
          <t>2차</t>
        </is>
      </c>
      <c r="D79" s="19" t="inlineStr">
        <is>
          <t>4급</t>
        </is>
      </c>
      <c r="E79" s="19" t="inlineStr">
        <is>
          <t>직원37</t>
        </is>
      </c>
      <c r="F79" s="22" t="n">
        <v>74</v>
      </c>
      <c r="G79" s="19">
        <f>COUNTIF($A$6:$A$79,$A79)</f>
        <v/>
      </c>
      <c r="H79" s="19">
        <f>RANK.EQ($F79,$F$73:$F$79,1)</f>
        <v/>
      </c>
      <c r="I79" s="23">
        <f>INDEX('s(n) 표'!$AQ$5:$AQ$43,MATCH($G79,'s(n) 표'!$A$5:$A$43,0))</f>
        <v/>
      </c>
      <c r="J79" s="17">
        <f>($H79-0.375)/($G79+0.25)</f>
        <v/>
      </c>
      <c r="K79" s="17">
        <f>NORM.S.INV($J79)</f>
        <v/>
      </c>
      <c r="L79" s="24">
        <f>IF($G79&lt;6,"",ROUND(MEDIAN(60,80+7*$K79/$I79,100),3))</f>
        <v/>
      </c>
      <c r="M79" s="24">
        <f>IF($G79&gt;=6,$L79,IFERROR(IF(INDEX($L$6:$L$79,MATCH($E79&amp;"|2차",$T$6:$T$79,0))="",80,INDEX($L$6:$L$79,MATCH($E79&amp;"|2차",$T$6:$T$79,0))),80))</f>
        <v/>
      </c>
      <c r="N79" s="19" t="n">
        <v>0</v>
      </c>
      <c r="O79" s="24">
        <f>IF($N79="",$M79,ROUND(MEDIAN(60,$M79+$N79,100),3))</f>
        <v/>
      </c>
      <c r="P79" s="20" t="inlineStr">
        <is>
          <t>해당 없음 (제7호 조정은 1차 평가자만)</t>
        </is>
      </c>
      <c r="Q79" s="19">
        <f>IF(COUNTIFS($A$6:$A$79,$A79,$F$6:$F$79,$F79)&gt;1,"★동점","")</f>
        <v/>
      </c>
      <c r="R79" s="19">
        <f>IF($L79="","",RANK.EQ($L79,$L$73:$L$79,1))</f>
        <v/>
      </c>
      <c r="S79" s="19">
        <f>IF($L79="","제5호 - 미실시",IF($R79=$H79,"보존","★불일치"))</f>
        <v/>
      </c>
      <c r="T79" s="20">
        <f>$E79&amp;"|"&amp;$C79</f>
        <v/>
      </c>
      <c r="U79" s="24">
        <f>IF($G79&lt;6,"",80+7*$K79/$I79)</f>
        <v/>
      </c>
      <c r="V79" s="24">
        <f>IF($N79="",$M79,$M79+$N79)</f>
        <v/>
      </c>
    </row>
  </sheetData>
  <conditionalFormatting sqref="Q6:Q79">
    <cfRule type="cellIs" priority="1" operator="containsText" dxfId="1">
      <formula>NOT(ISERROR(SEARCH("★",Q6)))</formula>
    </cfRule>
  </conditionalFormatting>
  <conditionalFormatting sqref="S6:S79">
    <cfRule type="cellIs" priority="2" operator="containsText" dxfId="1">
      <formula>NOT(ISERROR(SEARCH("★",S6)))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2" customWidth="1" min="4" max="4"/>
    <col width="13" customWidth="1" min="5" max="5"/>
    <col width="12" customWidth="1" min="6" max="6"/>
    <col width="11" customWidth="1" min="7" max="7"/>
    <col width="9" customWidth="1" min="8" max="8"/>
    <col width="9" customWidth="1" min="9" max="9"/>
    <col width="13" customWidth="1" min="10" max="10"/>
    <col width="11" customWidth="1" min="11" max="11"/>
    <col width="9" customWidth="1" min="12" max="12"/>
    <col width="12" customWidth="1" min="13" max="13"/>
    <col width="10" customWidth="1" min="14" max="14"/>
    <col width="10" customWidth="1" min="15" max="15"/>
    <col width="13" customWidth="1" min="16" max="16"/>
    <col width="9" customWidth="1" min="17" max="17"/>
    <col width="11" customWidth="1" min="18" max="18"/>
    <col width="10" customWidth="1" min="19" max="19"/>
    <col width="11" customWidth="1" min="20" max="20"/>
    <col width="10" customWidth="1" min="21" max="21"/>
    <col width="12" customWidth="1" min="22" max="22"/>
    <col width="9" customWidth="1" min="23" max="23"/>
    <col width="9" customWidth="1" min="24" max="24"/>
    <col width="9" customWidth="1" min="25" max="25"/>
    <col width="9" customWidth="1" min="26" max="26"/>
    <col width="7" customWidth="1" min="27" max="27"/>
    <col width="10" customWidth="1" min="28" max="28"/>
    <col width="11" customWidth="1" min="29" max="29"/>
    <col width="14" customWidth="1" min="30" max="30"/>
  </cols>
  <sheetData>
    <row r="1">
      <c r="A1" s="14" t="inlineStr">
        <is>
          <t>③ 종합점수·등급 — 규칙 제9조② · 제26조① · [별표 2] · [별표 7]</t>
        </is>
      </c>
    </row>
    <row r="2">
      <c r="A2" s="21" t="inlineStr">
        <is>
          <t>고지 — 이 파일의 모든 인명·점수는 산식 검증을 위한 모의 예시 데이터이며, 창업진흥원의 실제 근무평정 결과가 아니다.</t>
        </is>
      </c>
    </row>
    <row r="3">
      <c r="A3" s="2" t="inlineStr">
        <is>
          <t>개정 14 채택 여부 (Y/N) →</t>
        </is>
      </c>
      <c r="B3" s="26" t="inlineStr">
        <is>
          <t>Y</t>
        </is>
      </c>
      <c r="C3" s="15" t="inlineStr">
        <is>
          <t>★ 배점 스위치 — Y: 업적·역량 75% / 다면 20% / 공통 5%   N(현행): 85% / 10% / 5%</t>
        </is>
      </c>
    </row>
    <row r="4">
      <c r="A4" s="8" t="inlineStr">
        <is>
          <t>업적·역량 배점</t>
        </is>
      </c>
      <c r="B4" s="27">
        <f>IF($B$3="Y",0.75,0.85)</f>
        <v/>
      </c>
    </row>
    <row r="5">
      <c r="A5" s="8" t="inlineStr">
        <is>
          <t>다면(상향) 배점</t>
        </is>
      </c>
      <c r="B5" s="27">
        <f>IF($B$3="Y",0.2,0.1)</f>
        <v/>
      </c>
    </row>
    <row r="6">
      <c r="A6" s="8" t="inlineStr">
        <is>
          <t>공통평가 배점</t>
        </is>
      </c>
      <c r="B6" s="27" t="n">
        <v>0.05</v>
      </c>
      <c r="C6" s="15" t="inlineStr">
        <is>
          <t>부서장(4급 이상)은 다면 대신 상향평가이며 1차:2차 = 50:50, 배점은 현행(0.85/0.10/0.05)을 유지한다.</t>
        </is>
      </c>
    </row>
    <row r="7">
      <c r="C7" s="15" t="inlineStr">
        <is>
          <t>[별표 9] 제5호 적용 행(1차 평가군 6명 미만)은 1차 비율 0 · 2차 비율 100%이며, 업적·역량 = 2차 보정점수 × 100% + 1차 평가자의 제7호 조정량(E열 − F열)이다.</t>
        </is>
      </c>
    </row>
    <row r="8" ht="34" customHeight="1">
      <c r="A8" s="10" t="inlineStr">
        <is>
          <t>직원</t>
        </is>
      </c>
      <c r="B8" s="10" t="inlineStr">
        <is>
          <t>직급</t>
        </is>
      </c>
      <c r="C8" s="10" t="inlineStr">
        <is>
          <t>부서장
여부</t>
        </is>
      </c>
      <c r="D8" s="10" t="inlineStr">
        <is>
          <t>1차 평가군
인원 n₁</t>
        </is>
      </c>
      <c r="E8" s="10" t="inlineStr">
        <is>
          <t>1차 적용점수
(조정 후)
제5호 시 = 2차+조정</t>
        </is>
      </c>
      <c r="F8" s="10" t="inlineStr">
        <is>
          <t>2차 보정점수</t>
        </is>
      </c>
      <c r="G8" s="10" t="inlineStr">
        <is>
          <t>제5호</t>
        </is>
      </c>
      <c r="H8" s="10" t="inlineStr">
        <is>
          <t>1차 비율</t>
        </is>
      </c>
      <c r="I8" s="10" t="inlineStr">
        <is>
          <t>2차 비율</t>
        </is>
      </c>
      <c r="J8" s="10" t="inlineStr">
        <is>
          <t>업적·역량 점수</t>
        </is>
      </c>
      <c r="K8" s="10" t="inlineStr">
        <is>
          <t>다면/상향
원점수</t>
        </is>
      </c>
      <c r="L8" s="10" t="inlineStr">
        <is>
          <t>유효
응답수</t>
        </is>
      </c>
      <c r="M8" s="10" t="inlineStr">
        <is>
          <t>다면 평가군
인원</t>
        </is>
      </c>
      <c r="N8" s="10" t="inlineStr">
        <is>
          <t>다면 순위</t>
        </is>
      </c>
      <c r="O8" s="10" t="inlineStr">
        <is>
          <t>다면 s(n)</t>
        </is>
      </c>
      <c r="P8" s="10" t="inlineStr">
        <is>
          <t>다면 보정점수</t>
        </is>
      </c>
      <c r="Q8" s="10" t="inlineStr">
        <is>
          <t>공통평가</t>
        </is>
      </c>
      <c r="R8" s="10" t="inlineStr">
        <is>
          <t>업적·역량
배점</t>
        </is>
      </c>
      <c r="S8" s="10" t="inlineStr">
        <is>
          <t>다면 배점</t>
        </is>
      </c>
      <c r="T8" s="10" t="inlineStr">
        <is>
          <t>종합점수</t>
        </is>
      </c>
      <c r="U8" s="10" t="inlineStr">
        <is>
          <t>직급 인원</t>
        </is>
      </c>
      <c r="V8" s="10" t="inlineStr">
        <is>
          <t>직급내 순위</t>
        </is>
      </c>
      <c r="W8" s="10" t="inlineStr">
        <is>
          <t>S 정원</t>
        </is>
      </c>
      <c r="X8" s="10" t="inlineStr">
        <is>
          <t>A 정원</t>
        </is>
      </c>
      <c r="Y8" s="10" t="inlineStr">
        <is>
          <t>B 정원</t>
        </is>
      </c>
      <c r="Z8" s="10" t="inlineStr">
        <is>
          <t>C 정원</t>
        </is>
      </c>
      <c r="AA8" s="10" t="inlineStr">
        <is>
          <t>등급</t>
        </is>
      </c>
      <c r="AB8" s="10" t="inlineStr">
        <is>
          <t>등급 인원</t>
        </is>
      </c>
      <c r="AC8" s="10" t="inlineStr">
        <is>
          <t>등급내 순위</t>
        </is>
      </c>
      <c r="AD8" s="10" t="inlineStr">
        <is>
          <t>평정점 (별표 7)</t>
        </is>
      </c>
    </row>
    <row r="9">
      <c r="A9" s="19" t="inlineStr">
        <is>
          <t>직원01</t>
        </is>
      </c>
      <c r="B9" s="19" t="inlineStr">
        <is>
          <t>5급</t>
        </is>
      </c>
      <c r="C9" s="16" t="inlineStr">
        <is>
          <t>N</t>
        </is>
      </c>
      <c r="D9" s="19">
        <f>INDEX('평가군 계산'!$G$6:$G$79,MATCH($A9&amp;"|1차",'평가군 계산'!$T$6:$T$79,0))</f>
        <v/>
      </c>
      <c r="E9" s="24">
        <f>INDEX('평가군 계산'!$O$6:$O$79,MATCH($A9&amp;"|1차",'평가군 계산'!$T$6:$T$79,0))</f>
        <v/>
      </c>
      <c r="F9" s="24">
        <f>IFERROR(IF(INDEX('평가군 계산'!$L$6:$L$79,MATCH($A9&amp;"|2차",'평가군 계산'!$T$6:$T$79,0))="",80,INDEX('평가군 계산'!$L$6:$L$79,MATCH($A9&amp;"|2차",'평가군 계산'!$T$6:$T$79,0))),80)</f>
        <v/>
      </c>
      <c r="G9" s="19">
        <f>IF($D9&lt;6,"제5호 — 2차 100% + 1차 조정","-")</f>
        <v/>
      </c>
      <c r="H9" s="27">
        <f>IF($D9&lt;6,0,IF($C9="Y",0.5,0.6))</f>
        <v/>
      </c>
      <c r="I9" s="27">
        <f>IF($D9&lt;6,1,IF($C9="Y",0.5,0.4))</f>
        <v/>
      </c>
      <c r="J9" s="24">
        <f>ROUND(IF($D9&lt;6,$I9*$F9+($E9-$F9),$H9*$E9+$I9*$F9),3)</f>
        <v/>
      </c>
      <c r="K9" s="28" t="n">
        <v>79.09999999999999</v>
      </c>
      <c r="L9" s="16" t="n">
        <v>7</v>
      </c>
      <c r="M9" s="19">
        <f>COUNTIFS($L$9:$L$45,"&gt;=3")</f>
        <v/>
      </c>
      <c r="N9" s="19">
        <f>IF($L9&lt;3,"",COUNTIFS($L$9:$L$45,"&gt;=3",$K$9:$K$45,"&lt;"&amp;$K9)+1)</f>
        <v/>
      </c>
      <c r="O9" s="23">
        <f>IF($L9&lt;3,"",INDEX('s(n) 표'!$AQ$5:$AQ$43,MATCH($M9,'s(n) 표'!$A$5:$A$43,0)))</f>
        <v/>
      </c>
      <c r="P9" s="24">
        <f>IF($L9&lt;3,80,ROUND(MEDIAN(60,80+7*NORM.S.INV(($N9-0.375)/($M9+0.25))/$O9,100),3))</f>
        <v/>
      </c>
      <c r="Q9" s="16" t="n">
        <v>97</v>
      </c>
      <c r="R9" s="27">
        <f>IF($C9="Y",0.85,$B$4)+IF($L9&lt;3,IF($C9="Y",0.1,$B$5),0)</f>
        <v/>
      </c>
      <c r="S9" s="27">
        <f>IF($L9&lt;3,0,IF($C9="Y",0.1,$B$5))</f>
        <v/>
      </c>
      <c r="T9" s="24">
        <f>ROUND($R9*$J9+$S9*$P9+$B$6*$Q9,3)</f>
        <v/>
      </c>
      <c r="U9" s="19">
        <f>COUNTIF($B$9:$B$45,$B9)</f>
        <v/>
      </c>
      <c r="V9" s="19">
        <f>COUNTIFS($B$9:$B$45,$B9,$T$9:$T$45,"&gt;"&amp;$T9)+1</f>
        <v/>
      </c>
      <c r="W9" s="19">
        <f>INDEX($T$50:$T$51,MATCH($B9,$A$50:$A$51,0))</f>
        <v/>
      </c>
      <c r="X9" s="19">
        <f>INDEX($U$50:$U$51,MATCH($B9,$A$50:$A$51,0))</f>
        <v/>
      </c>
      <c r="Y9" s="19">
        <f>INDEX($V$50:$V$51,MATCH($B9,$A$50:$A$51,0))</f>
        <v/>
      </c>
      <c r="Z9" s="19">
        <f>INDEX($W$50:$W$51,MATCH($B9,$A$50:$A$51,0))</f>
        <v/>
      </c>
      <c r="AA9" s="11">
        <f>IF($V9&lt;=$W9,"S",IF($V9&lt;=$W9+$X9,"A",IF($V9&lt;=$W9+$X9+$Y9,"B","C")))</f>
        <v/>
      </c>
      <c r="AB9" s="19">
        <f>IF($AA9="S",$W9,IF($AA9="A",$X9,IF($AA9="B",$Y9,$Z9)))</f>
        <v/>
      </c>
      <c r="AC9" s="19">
        <f>$V9-IF($AA9="S",0,IF($AA9="A",$W9,IF($AA9="B",$W9+$X9,$W9+$X9+$Y9)))</f>
        <v/>
      </c>
      <c r="AD9" s="27">
        <f>ROUND(IF($AA9="S",100,IF($AA9="A",90,IF($AA9="B",80,70)))-(10/$AB9)*($AC9-1),3)</f>
        <v/>
      </c>
    </row>
    <row r="10">
      <c r="A10" s="19" t="inlineStr">
        <is>
          <t>직원02</t>
        </is>
      </c>
      <c r="B10" s="19" t="inlineStr">
        <is>
          <t>5급</t>
        </is>
      </c>
      <c r="C10" s="16" t="inlineStr">
        <is>
          <t>N</t>
        </is>
      </c>
      <c r="D10" s="19">
        <f>INDEX('평가군 계산'!$G$6:$G$79,MATCH($A10&amp;"|1차",'평가군 계산'!$T$6:$T$79,0))</f>
        <v/>
      </c>
      <c r="E10" s="24">
        <f>INDEX('평가군 계산'!$O$6:$O$79,MATCH($A10&amp;"|1차",'평가군 계산'!$T$6:$T$79,0))</f>
        <v/>
      </c>
      <c r="F10" s="24">
        <f>IFERROR(IF(INDEX('평가군 계산'!$L$6:$L$79,MATCH($A10&amp;"|2차",'평가군 계산'!$T$6:$T$79,0))="",80,INDEX('평가군 계산'!$L$6:$L$79,MATCH($A10&amp;"|2차",'평가군 계산'!$T$6:$T$79,0))),80)</f>
        <v/>
      </c>
      <c r="G10" s="19">
        <f>IF($D10&lt;6,"제5호 — 2차 100% + 1차 조정","-")</f>
        <v/>
      </c>
      <c r="H10" s="27">
        <f>IF($D10&lt;6,0,IF($C10="Y",0.5,0.6))</f>
        <v/>
      </c>
      <c r="I10" s="27">
        <f>IF($D10&lt;6,1,IF($C10="Y",0.5,0.4))</f>
        <v/>
      </c>
      <c r="J10" s="24">
        <f>ROUND(IF($D10&lt;6,$I10*$F10+($E10-$F10),$H10*$E10+$I10*$F10),3)</f>
        <v/>
      </c>
      <c r="K10" s="28" t="n">
        <v>88.2</v>
      </c>
      <c r="L10" s="16" t="n">
        <v>8</v>
      </c>
      <c r="M10" s="19">
        <f>COUNTIFS($L$9:$L$45,"&gt;=3")</f>
        <v/>
      </c>
      <c r="N10" s="19">
        <f>IF($L10&lt;3,"",COUNTIFS($L$9:$L$45,"&gt;=3",$K$9:$K$45,"&lt;"&amp;$K10)+1)</f>
        <v/>
      </c>
      <c r="O10" s="23">
        <f>IF($L10&lt;3,"",INDEX('s(n) 표'!$AQ$5:$AQ$43,MATCH($M10,'s(n) 표'!$A$5:$A$43,0)))</f>
        <v/>
      </c>
      <c r="P10" s="24">
        <f>IF($L10&lt;3,80,ROUND(MEDIAN(60,80+7*NORM.S.INV(($N10-0.375)/($M10+0.25))/$O10,100),3))</f>
        <v/>
      </c>
      <c r="Q10" s="16" t="n">
        <v>93</v>
      </c>
      <c r="R10" s="27">
        <f>IF($C10="Y",0.85,$B$4)+IF($L10&lt;3,IF($C10="Y",0.1,$B$5),0)</f>
        <v/>
      </c>
      <c r="S10" s="27">
        <f>IF($L10&lt;3,0,IF($C10="Y",0.1,$B$5))</f>
        <v/>
      </c>
      <c r="T10" s="24">
        <f>ROUND($R10*$J10+$S10*$P10+$B$6*$Q10,3)</f>
        <v/>
      </c>
      <c r="U10" s="19">
        <f>COUNTIF($B$9:$B$45,$B10)</f>
        <v/>
      </c>
      <c r="V10" s="19">
        <f>COUNTIFS($B$9:$B$45,$B10,$T$9:$T$45,"&gt;"&amp;$T10)+1</f>
        <v/>
      </c>
      <c r="W10" s="19">
        <f>INDEX($T$50:$T$51,MATCH($B10,$A$50:$A$51,0))</f>
        <v/>
      </c>
      <c r="X10" s="19">
        <f>INDEX($U$50:$U$51,MATCH($B10,$A$50:$A$51,0))</f>
        <v/>
      </c>
      <c r="Y10" s="19">
        <f>INDEX($V$50:$V$51,MATCH($B10,$A$50:$A$51,0))</f>
        <v/>
      </c>
      <c r="Z10" s="19">
        <f>INDEX($W$50:$W$51,MATCH($B10,$A$50:$A$51,0))</f>
        <v/>
      </c>
      <c r="AA10" s="11">
        <f>IF($V10&lt;=$W10,"S",IF($V10&lt;=$W10+$X10,"A",IF($V10&lt;=$W10+$X10+$Y10,"B","C")))</f>
        <v/>
      </c>
      <c r="AB10" s="19">
        <f>IF($AA10="S",$W10,IF($AA10="A",$X10,IF($AA10="B",$Y10,$Z10)))</f>
        <v/>
      </c>
      <c r="AC10" s="19">
        <f>$V10-IF($AA10="S",0,IF($AA10="A",$W10,IF($AA10="B",$W10+$X10,$W10+$X10+$Y10)))</f>
        <v/>
      </c>
      <c r="AD10" s="27">
        <f>ROUND(IF($AA10="S",100,IF($AA10="A",90,IF($AA10="B",80,70)))-(10/$AB10)*($AC10-1),3)</f>
        <v/>
      </c>
    </row>
    <row r="11">
      <c r="A11" s="19" t="inlineStr">
        <is>
          <t>직원03</t>
        </is>
      </c>
      <c r="B11" s="19" t="inlineStr">
        <is>
          <t>5급</t>
        </is>
      </c>
      <c r="C11" s="16" t="inlineStr">
        <is>
          <t>N</t>
        </is>
      </c>
      <c r="D11" s="19">
        <f>INDEX('평가군 계산'!$G$6:$G$79,MATCH($A11&amp;"|1차",'평가군 계산'!$T$6:$T$79,0))</f>
        <v/>
      </c>
      <c r="E11" s="24">
        <f>INDEX('평가군 계산'!$O$6:$O$79,MATCH($A11&amp;"|1차",'평가군 계산'!$T$6:$T$79,0))</f>
        <v/>
      </c>
      <c r="F11" s="24">
        <f>IFERROR(IF(INDEX('평가군 계산'!$L$6:$L$79,MATCH($A11&amp;"|2차",'평가군 계산'!$T$6:$T$79,0))="",80,INDEX('평가군 계산'!$L$6:$L$79,MATCH($A11&amp;"|2차",'평가군 계산'!$T$6:$T$79,0))),80)</f>
        <v/>
      </c>
      <c r="G11" s="19">
        <f>IF($D11&lt;6,"제5호 — 2차 100% + 1차 조정","-")</f>
        <v/>
      </c>
      <c r="H11" s="27">
        <f>IF($D11&lt;6,0,IF($C11="Y",0.5,0.6))</f>
        <v/>
      </c>
      <c r="I11" s="27">
        <f>IF($D11&lt;6,1,IF($C11="Y",0.5,0.4))</f>
        <v/>
      </c>
      <c r="J11" s="24">
        <f>ROUND(IF($D11&lt;6,$I11*$F11+($E11-$F11),$H11*$E11+$I11*$F11),3)</f>
        <v/>
      </c>
      <c r="K11" s="28" t="n">
        <v>71.40000000000001</v>
      </c>
      <c r="L11" s="16" t="n">
        <v>9</v>
      </c>
      <c r="M11" s="19">
        <f>COUNTIFS($L$9:$L$45,"&gt;=3")</f>
        <v/>
      </c>
      <c r="N11" s="19">
        <f>IF($L11&lt;3,"",COUNTIFS($L$9:$L$45,"&gt;=3",$K$9:$K$45,"&lt;"&amp;$K11)+1)</f>
        <v/>
      </c>
      <c r="O11" s="23">
        <f>IF($L11&lt;3,"",INDEX('s(n) 표'!$AQ$5:$AQ$43,MATCH($M11,'s(n) 표'!$A$5:$A$43,0)))</f>
        <v/>
      </c>
      <c r="P11" s="24">
        <f>IF($L11&lt;3,80,ROUND(MEDIAN(60,80+7*NORM.S.INV(($N11-0.375)/($M11+0.25))/$O11,100),3))</f>
        <v/>
      </c>
      <c r="Q11" s="16" t="n">
        <v>100</v>
      </c>
      <c r="R11" s="27">
        <f>IF($C11="Y",0.85,$B$4)+IF($L11&lt;3,IF($C11="Y",0.1,$B$5),0)</f>
        <v/>
      </c>
      <c r="S11" s="27">
        <f>IF($L11&lt;3,0,IF($C11="Y",0.1,$B$5))</f>
        <v/>
      </c>
      <c r="T11" s="24">
        <f>ROUND($R11*$J11+$S11*$P11+$B$6*$Q11,3)</f>
        <v/>
      </c>
      <c r="U11" s="19">
        <f>COUNTIF($B$9:$B$45,$B11)</f>
        <v/>
      </c>
      <c r="V11" s="19">
        <f>COUNTIFS($B$9:$B$45,$B11,$T$9:$T$45,"&gt;"&amp;$T11)+1</f>
        <v/>
      </c>
      <c r="W11" s="19">
        <f>INDEX($T$50:$T$51,MATCH($B11,$A$50:$A$51,0))</f>
        <v/>
      </c>
      <c r="X11" s="19">
        <f>INDEX($U$50:$U$51,MATCH($B11,$A$50:$A$51,0))</f>
        <v/>
      </c>
      <c r="Y11" s="19">
        <f>INDEX($V$50:$V$51,MATCH($B11,$A$50:$A$51,0))</f>
        <v/>
      </c>
      <c r="Z11" s="19">
        <f>INDEX($W$50:$W$51,MATCH($B11,$A$50:$A$51,0))</f>
        <v/>
      </c>
      <c r="AA11" s="11">
        <f>IF($V11&lt;=$W11,"S",IF($V11&lt;=$W11+$X11,"A",IF($V11&lt;=$W11+$X11+$Y11,"B","C")))</f>
        <v/>
      </c>
      <c r="AB11" s="19">
        <f>IF($AA11="S",$W11,IF($AA11="A",$X11,IF($AA11="B",$Y11,$Z11)))</f>
        <v/>
      </c>
      <c r="AC11" s="19">
        <f>$V11-IF($AA11="S",0,IF($AA11="A",$W11,IF($AA11="B",$W11+$X11,$W11+$X11+$Y11)))</f>
        <v/>
      </c>
      <c r="AD11" s="27">
        <f>ROUND(IF($AA11="S",100,IF($AA11="A",90,IF($AA11="B",80,70)))-(10/$AB11)*($AC11-1),3)</f>
        <v/>
      </c>
    </row>
    <row r="12">
      <c r="A12" s="19" t="inlineStr">
        <is>
          <t>직원04</t>
        </is>
      </c>
      <c r="B12" s="19" t="inlineStr">
        <is>
          <t>5급</t>
        </is>
      </c>
      <c r="C12" s="16" t="inlineStr">
        <is>
          <t>N</t>
        </is>
      </c>
      <c r="D12" s="19">
        <f>INDEX('평가군 계산'!$G$6:$G$79,MATCH($A12&amp;"|1차",'평가군 계산'!$T$6:$T$79,0))</f>
        <v/>
      </c>
      <c r="E12" s="24">
        <f>INDEX('평가군 계산'!$O$6:$O$79,MATCH($A12&amp;"|1차",'평가군 계산'!$T$6:$T$79,0))</f>
        <v/>
      </c>
      <c r="F12" s="24">
        <f>IFERROR(IF(INDEX('평가군 계산'!$L$6:$L$79,MATCH($A12&amp;"|2차",'평가군 계산'!$T$6:$T$79,0))="",80,INDEX('평가군 계산'!$L$6:$L$79,MATCH($A12&amp;"|2차",'평가군 계산'!$T$6:$T$79,0))),80)</f>
        <v/>
      </c>
      <c r="G12" s="19">
        <f>IF($D12&lt;6,"제5호 — 2차 100% + 1차 조정","-")</f>
        <v/>
      </c>
      <c r="H12" s="27">
        <f>IF($D12&lt;6,0,IF($C12="Y",0.5,0.6))</f>
        <v/>
      </c>
      <c r="I12" s="27">
        <f>IF($D12&lt;6,1,IF($C12="Y",0.5,0.4))</f>
        <v/>
      </c>
      <c r="J12" s="24">
        <f>ROUND(IF($D12&lt;6,$I12*$F12+($E12-$F12),$H12*$E12+$I12*$F12),3)</f>
        <v/>
      </c>
      <c r="K12" s="28" t="n">
        <v>80.5</v>
      </c>
      <c r="L12" s="16" t="n">
        <v>10</v>
      </c>
      <c r="M12" s="19">
        <f>COUNTIFS($L$9:$L$45,"&gt;=3")</f>
        <v/>
      </c>
      <c r="N12" s="19">
        <f>IF($L12&lt;3,"",COUNTIFS($L$9:$L$45,"&gt;=3",$K$9:$K$45,"&lt;"&amp;$K12)+1)</f>
        <v/>
      </c>
      <c r="O12" s="23">
        <f>IF($L12&lt;3,"",INDEX('s(n) 표'!$AQ$5:$AQ$43,MATCH($M12,'s(n) 표'!$A$5:$A$43,0)))</f>
        <v/>
      </c>
      <c r="P12" s="24">
        <f>IF($L12&lt;3,80,ROUND(MEDIAN(60,80+7*NORM.S.INV(($N12-0.375)/($M12+0.25))/$O12,100),3))</f>
        <v/>
      </c>
      <c r="Q12" s="16" t="n">
        <v>96</v>
      </c>
      <c r="R12" s="27">
        <f>IF($C12="Y",0.85,$B$4)+IF($L12&lt;3,IF($C12="Y",0.1,$B$5),0)</f>
        <v/>
      </c>
      <c r="S12" s="27">
        <f>IF($L12&lt;3,0,IF($C12="Y",0.1,$B$5))</f>
        <v/>
      </c>
      <c r="T12" s="24">
        <f>ROUND($R12*$J12+$S12*$P12+$B$6*$Q12,3)</f>
        <v/>
      </c>
      <c r="U12" s="19">
        <f>COUNTIF($B$9:$B$45,$B12)</f>
        <v/>
      </c>
      <c r="V12" s="19">
        <f>COUNTIFS($B$9:$B$45,$B12,$T$9:$T$45,"&gt;"&amp;$T12)+1</f>
        <v/>
      </c>
      <c r="W12" s="19">
        <f>INDEX($T$50:$T$51,MATCH($B12,$A$50:$A$51,0))</f>
        <v/>
      </c>
      <c r="X12" s="19">
        <f>INDEX($U$50:$U$51,MATCH($B12,$A$50:$A$51,0))</f>
        <v/>
      </c>
      <c r="Y12" s="19">
        <f>INDEX($V$50:$V$51,MATCH($B12,$A$50:$A$51,0))</f>
        <v/>
      </c>
      <c r="Z12" s="19">
        <f>INDEX($W$50:$W$51,MATCH($B12,$A$50:$A$51,0))</f>
        <v/>
      </c>
      <c r="AA12" s="11">
        <f>IF($V12&lt;=$W12,"S",IF($V12&lt;=$W12+$X12,"A",IF($V12&lt;=$W12+$X12+$Y12,"B","C")))</f>
        <v/>
      </c>
      <c r="AB12" s="19">
        <f>IF($AA12="S",$W12,IF($AA12="A",$X12,IF($AA12="B",$Y12,$Z12)))</f>
        <v/>
      </c>
      <c r="AC12" s="19">
        <f>$V12-IF($AA12="S",0,IF($AA12="A",$W12,IF($AA12="B",$W12+$X12,$W12+$X12+$Y12)))</f>
        <v/>
      </c>
      <c r="AD12" s="27">
        <f>ROUND(IF($AA12="S",100,IF($AA12="A",90,IF($AA12="B",80,70)))-(10/$AB12)*($AC12-1),3)</f>
        <v/>
      </c>
    </row>
    <row r="13">
      <c r="A13" s="19" t="inlineStr">
        <is>
          <t>직원05</t>
        </is>
      </c>
      <c r="B13" s="19" t="inlineStr">
        <is>
          <t>5급</t>
        </is>
      </c>
      <c r="C13" s="16" t="inlineStr">
        <is>
          <t>N</t>
        </is>
      </c>
      <c r="D13" s="19">
        <f>INDEX('평가군 계산'!$G$6:$G$79,MATCH($A13&amp;"|1차",'평가군 계산'!$T$6:$T$79,0))</f>
        <v/>
      </c>
      <c r="E13" s="24">
        <f>INDEX('평가군 계산'!$O$6:$O$79,MATCH($A13&amp;"|1차",'평가군 계산'!$T$6:$T$79,0))</f>
        <v/>
      </c>
      <c r="F13" s="24">
        <f>IFERROR(IF(INDEX('평가군 계산'!$L$6:$L$79,MATCH($A13&amp;"|2차",'평가군 계산'!$T$6:$T$79,0))="",80,INDEX('평가군 계산'!$L$6:$L$79,MATCH($A13&amp;"|2차",'평가군 계산'!$T$6:$T$79,0))),80)</f>
        <v/>
      </c>
      <c r="G13" s="19">
        <f>IF($D13&lt;6,"제5호 — 2차 100% + 1차 조정","-")</f>
        <v/>
      </c>
      <c r="H13" s="27">
        <f>IF($D13&lt;6,0,IF($C13="Y",0.5,0.6))</f>
        <v/>
      </c>
      <c r="I13" s="27">
        <f>IF($D13&lt;6,1,IF($C13="Y",0.5,0.4))</f>
        <v/>
      </c>
      <c r="J13" s="24">
        <f>ROUND(IF($D13&lt;6,$I13*$F13+($E13-$F13),$H13*$E13+$I13*$F13),3)</f>
        <v/>
      </c>
      <c r="K13" s="28" t="n">
        <v>89.59999999999999</v>
      </c>
      <c r="L13" s="16" t="n">
        <v>6</v>
      </c>
      <c r="M13" s="19">
        <f>COUNTIFS($L$9:$L$45,"&gt;=3")</f>
        <v/>
      </c>
      <c r="N13" s="19">
        <f>IF($L13&lt;3,"",COUNTIFS($L$9:$L$45,"&gt;=3",$K$9:$K$45,"&lt;"&amp;$K13)+1)</f>
        <v/>
      </c>
      <c r="O13" s="23">
        <f>IF($L13&lt;3,"",INDEX('s(n) 표'!$AQ$5:$AQ$43,MATCH($M13,'s(n) 표'!$A$5:$A$43,0)))</f>
        <v/>
      </c>
      <c r="P13" s="24">
        <f>IF($L13&lt;3,80,ROUND(MEDIAN(60,80+7*NORM.S.INV(($N13-0.375)/($M13+0.25))/$O13,100),3))</f>
        <v/>
      </c>
      <c r="Q13" s="16" t="n">
        <v>92</v>
      </c>
      <c r="R13" s="27">
        <f>IF($C13="Y",0.85,$B$4)+IF($L13&lt;3,IF($C13="Y",0.1,$B$5),0)</f>
        <v/>
      </c>
      <c r="S13" s="27">
        <f>IF($L13&lt;3,0,IF($C13="Y",0.1,$B$5))</f>
        <v/>
      </c>
      <c r="T13" s="24">
        <f>ROUND($R13*$J13+$S13*$P13+$B$6*$Q13,3)</f>
        <v/>
      </c>
      <c r="U13" s="19">
        <f>COUNTIF($B$9:$B$45,$B13)</f>
        <v/>
      </c>
      <c r="V13" s="19">
        <f>COUNTIFS($B$9:$B$45,$B13,$T$9:$T$45,"&gt;"&amp;$T13)+1</f>
        <v/>
      </c>
      <c r="W13" s="19">
        <f>INDEX($T$50:$T$51,MATCH($B13,$A$50:$A$51,0))</f>
        <v/>
      </c>
      <c r="X13" s="19">
        <f>INDEX($U$50:$U$51,MATCH($B13,$A$50:$A$51,0))</f>
        <v/>
      </c>
      <c r="Y13" s="19">
        <f>INDEX($V$50:$V$51,MATCH($B13,$A$50:$A$51,0))</f>
        <v/>
      </c>
      <c r="Z13" s="19">
        <f>INDEX($W$50:$W$51,MATCH($B13,$A$50:$A$51,0))</f>
        <v/>
      </c>
      <c r="AA13" s="11">
        <f>IF($V13&lt;=$W13,"S",IF($V13&lt;=$W13+$X13,"A",IF($V13&lt;=$W13+$X13+$Y13,"B","C")))</f>
        <v/>
      </c>
      <c r="AB13" s="19">
        <f>IF($AA13="S",$W13,IF($AA13="A",$X13,IF($AA13="B",$Y13,$Z13)))</f>
        <v/>
      </c>
      <c r="AC13" s="19">
        <f>$V13-IF($AA13="S",0,IF($AA13="A",$W13,IF($AA13="B",$W13+$X13,$W13+$X13+$Y13)))</f>
        <v/>
      </c>
      <c r="AD13" s="27">
        <f>ROUND(IF($AA13="S",100,IF($AA13="A",90,IF($AA13="B",80,70)))-(10/$AB13)*($AC13-1),3)</f>
        <v/>
      </c>
    </row>
    <row r="14">
      <c r="A14" s="19" t="inlineStr">
        <is>
          <t>직원06</t>
        </is>
      </c>
      <c r="B14" s="19" t="inlineStr">
        <is>
          <t>5급</t>
        </is>
      </c>
      <c r="C14" s="16" t="inlineStr">
        <is>
          <t>N</t>
        </is>
      </c>
      <c r="D14" s="19">
        <f>INDEX('평가군 계산'!$G$6:$G$79,MATCH($A14&amp;"|1차",'평가군 계산'!$T$6:$T$79,0))</f>
        <v/>
      </c>
      <c r="E14" s="24">
        <f>INDEX('평가군 계산'!$O$6:$O$79,MATCH($A14&amp;"|1차",'평가군 계산'!$T$6:$T$79,0))</f>
        <v/>
      </c>
      <c r="F14" s="24">
        <f>IFERROR(IF(INDEX('평가군 계산'!$L$6:$L$79,MATCH($A14&amp;"|2차",'평가군 계산'!$T$6:$T$79,0))="",80,INDEX('평가군 계산'!$L$6:$L$79,MATCH($A14&amp;"|2차",'평가군 계산'!$T$6:$T$79,0))),80)</f>
        <v/>
      </c>
      <c r="G14" s="19">
        <f>IF($D14&lt;6,"제5호 — 2차 100% + 1차 조정","-")</f>
        <v/>
      </c>
      <c r="H14" s="27">
        <f>IF($D14&lt;6,0,IF($C14="Y",0.5,0.6))</f>
        <v/>
      </c>
      <c r="I14" s="27">
        <f>IF($D14&lt;6,1,IF($C14="Y",0.5,0.4))</f>
        <v/>
      </c>
      <c r="J14" s="24">
        <f>ROUND(IF($D14&lt;6,$I14*$F14+($E14-$F14),$H14*$E14+$I14*$F14),3)</f>
        <v/>
      </c>
      <c r="K14" s="28" t="n">
        <v>72.8</v>
      </c>
      <c r="L14" s="16" t="n">
        <v>7</v>
      </c>
      <c r="M14" s="19">
        <f>COUNTIFS($L$9:$L$45,"&gt;=3")</f>
        <v/>
      </c>
      <c r="N14" s="19">
        <f>IF($L14&lt;3,"",COUNTIFS($L$9:$L$45,"&gt;=3",$K$9:$K$45,"&lt;"&amp;$K14)+1)</f>
        <v/>
      </c>
      <c r="O14" s="23">
        <f>IF($L14&lt;3,"",INDEX('s(n) 표'!$AQ$5:$AQ$43,MATCH($M14,'s(n) 표'!$A$5:$A$43,0)))</f>
        <v/>
      </c>
      <c r="P14" s="24">
        <f>IF($L14&lt;3,80,ROUND(MEDIAN(60,80+7*NORM.S.INV(($N14-0.375)/($M14+0.25))/$O14,100),3))</f>
        <v/>
      </c>
      <c r="Q14" s="16" t="n">
        <v>99</v>
      </c>
      <c r="R14" s="27">
        <f>IF($C14="Y",0.85,$B$4)+IF($L14&lt;3,IF($C14="Y",0.1,$B$5),0)</f>
        <v/>
      </c>
      <c r="S14" s="27">
        <f>IF($L14&lt;3,0,IF($C14="Y",0.1,$B$5))</f>
        <v/>
      </c>
      <c r="T14" s="24">
        <f>ROUND($R14*$J14+$S14*$P14+$B$6*$Q14,3)</f>
        <v/>
      </c>
      <c r="U14" s="19">
        <f>COUNTIF($B$9:$B$45,$B14)</f>
        <v/>
      </c>
      <c r="V14" s="19">
        <f>COUNTIFS($B$9:$B$45,$B14,$T$9:$T$45,"&gt;"&amp;$T14)+1</f>
        <v/>
      </c>
      <c r="W14" s="19">
        <f>INDEX($T$50:$T$51,MATCH($B14,$A$50:$A$51,0))</f>
        <v/>
      </c>
      <c r="X14" s="19">
        <f>INDEX($U$50:$U$51,MATCH($B14,$A$50:$A$51,0))</f>
        <v/>
      </c>
      <c r="Y14" s="19">
        <f>INDEX($V$50:$V$51,MATCH($B14,$A$50:$A$51,0))</f>
        <v/>
      </c>
      <c r="Z14" s="19">
        <f>INDEX($W$50:$W$51,MATCH($B14,$A$50:$A$51,0))</f>
        <v/>
      </c>
      <c r="AA14" s="11">
        <f>IF($V14&lt;=$W14,"S",IF($V14&lt;=$W14+$X14,"A",IF($V14&lt;=$W14+$X14+$Y14,"B","C")))</f>
        <v/>
      </c>
      <c r="AB14" s="19">
        <f>IF($AA14="S",$W14,IF($AA14="A",$X14,IF($AA14="B",$Y14,$Z14)))</f>
        <v/>
      </c>
      <c r="AC14" s="19">
        <f>$V14-IF($AA14="S",0,IF($AA14="A",$W14,IF($AA14="B",$W14+$X14,$W14+$X14+$Y14)))</f>
        <v/>
      </c>
      <c r="AD14" s="27">
        <f>ROUND(IF($AA14="S",100,IF($AA14="A",90,IF($AA14="B",80,70)))-(10/$AB14)*($AC14-1),3)</f>
        <v/>
      </c>
    </row>
    <row r="15">
      <c r="A15" s="19" t="inlineStr">
        <is>
          <t>직원07</t>
        </is>
      </c>
      <c r="B15" s="19" t="inlineStr">
        <is>
          <t>5급</t>
        </is>
      </c>
      <c r="C15" s="16" t="inlineStr">
        <is>
          <t>N</t>
        </is>
      </c>
      <c r="D15" s="19">
        <f>INDEX('평가군 계산'!$G$6:$G$79,MATCH($A15&amp;"|1차",'평가군 계산'!$T$6:$T$79,0))</f>
        <v/>
      </c>
      <c r="E15" s="24">
        <f>INDEX('평가군 계산'!$O$6:$O$79,MATCH($A15&amp;"|1차",'평가군 계산'!$T$6:$T$79,0))</f>
        <v/>
      </c>
      <c r="F15" s="24">
        <f>IFERROR(IF(INDEX('평가군 계산'!$L$6:$L$79,MATCH($A15&amp;"|2차",'평가군 계산'!$T$6:$T$79,0))="",80,INDEX('평가군 계산'!$L$6:$L$79,MATCH($A15&amp;"|2차",'평가군 계산'!$T$6:$T$79,0))),80)</f>
        <v/>
      </c>
      <c r="G15" s="19">
        <f>IF($D15&lt;6,"제5호 — 2차 100% + 1차 조정","-")</f>
        <v/>
      </c>
      <c r="H15" s="27">
        <f>IF($D15&lt;6,0,IF($C15="Y",0.5,0.6))</f>
        <v/>
      </c>
      <c r="I15" s="27">
        <f>IF($D15&lt;6,1,IF($C15="Y",0.5,0.4))</f>
        <v/>
      </c>
      <c r="J15" s="24">
        <f>ROUND(IF($D15&lt;6,$I15*$F15+($E15-$F15),$H15*$E15+$I15*$F15),3)</f>
        <v/>
      </c>
      <c r="K15" s="28" t="n">
        <v>81.90000000000001</v>
      </c>
      <c r="L15" s="16" t="n">
        <v>8</v>
      </c>
      <c r="M15" s="19">
        <f>COUNTIFS($L$9:$L$45,"&gt;=3")</f>
        <v/>
      </c>
      <c r="N15" s="19">
        <f>IF($L15&lt;3,"",COUNTIFS($L$9:$L$45,"&gt;=3",$K$9:$K$45,"&lt;"&amp;$K15)+1)</f>
        <v/>
      </c>
      <c r="O15" s="23">
        <f>IF($L15&lt;3,"",INDEX('s(n) 표'!$AQ$5:$AQ$43,MATCH($M15,'s(n) 표'!$A$5:$A$43,0)))</f>
        <v/>
      </c>
      <c r="P15" s="24">
        <f>IF($L15&lt;3,80,ROUND(MEDIAN(60,80+7*NORM.S.INV(($N15-0.375)/($M15+0.25))/$O15,100),3))</f>
        <v/>
      </c>
      <c r="Q15" s="16" t="n">
        <v>95</v>
      </c>
      <c r="R15" s="27">
        <f>IF($C15="Y",0.85,$B$4)+IF($L15&lt;3,IF($C15="Y",0.1,$B$5),0)</f>
        <v/>
      </c>
      <c r="S15" s="27">
        <f>IF($L15&lt;3,0,IF($C15="Y",0.1,$B$5))</f>
        <v/>
      </c>
      <c r="T15" s="24">
        <f>ROUND($R15*$J15+$S15*$P15+$B$6*$Q15,3)</f>
        <v/>
      </c>
      <c r="U15" s="19">
        <f>COUNTIF($B$9:$B$45,$B15)</f>
        <v/>
      </c>
      <c r="V15" s="19">
        <f>COUNTIFS($B$9:$B$45,$B15,$T$9:$T$45,"&gt;"&amp;$T15)+1</f>
        <v/>
      </c>
      <c r="W15" s="19">
        <f>INDEX($T$50:$T$51,MATCH($B15,$A$50:$A$51,0))</f>
        <v/>
      </c>
      <c r="X15" s="19">
        <f>INDEX($U$50:$U$51,MATCH($B15,$A$50:$A$51,0))</f>
        <v/>
      </c>
      <c r="Y15" s="19">
        <f>INDEX($V$50:$V$51,MATCH($B15,$A$50:$A$51,0))</f>
        <v/>
      </c>
      <c r="Z15" s="19">
        <f>INDEX($W$50:$W$51,MATCH($B15,$A$50:$A$51,0))</f>
        <v/>
      </c>
      <c r="AA15" s="11">
        <f>IF($V15&lt;=$W15,"S",IF($V15&lt;=$W15+$X15,"A",IF($V15&lt;=$W15+$X15+$Y15,"B","C")))</f>
        <v/>
      </c>
      <c r="AB15" s="19">
        <f>IF($AA15="S",$W15,IF($AA15="A",$X15,IF($AA15="B",$Y15,$Z15)))</f>
        <v/>
      </c>
      <c r="AC15" s="19">
        <f>$V15-IF($AA15="S",0,IF($AA15="A",$W15,IF($AA15="B",$W15+$X15,$W15+$X15+$Y15)))</f>
        <v/>
      </c>
      <c r="AD15" s="27">
        <f>ROUND(IF($AA15="S",100,IF($AA15="A",90,IF($AA15="B",80,70)))-(10/$AB15)*($AC15-1),3)</f>
        <v/>
      </c>
    </row>
    <row r="16">
      <c r="A16" s="19" t="inlineStr">
        <is>
          <t>직원08</t>
        </is>
      </c>
      <c r="B16" s="19" t="inlineStr">
        <is>
          <t>5급</t>
        </is>
      </c>
      <c r="C16" s="16" t="inlineStr">
        <is>
          <t>N</t>
        </is>
      </c>
      <c r="D16" s="19">
        <f>INDEX('평가군 계산'!$G$6:$G$79,MATCH($A16&amp;"|1차",'평가군 계산'!$T$6:$T$79,0))</f>
        <v/>
      </c>
      <c r="E16" s="24">
        <f>INDEX('평가군 계산'!$O$6:$O$79,MATCH($A16&amp;"|1차",'평가군 계산'!$T$6:$T$79,0))</f>
        <v/>
      </c>
      <c r="F16" s="24">
        <f>IFERROR(IF(INDEX('평가군 계산'!$L$6:$L$79,MATCH($A16&amp;"|2차",'평가군 계산'!$T$6:$T$79,0))="",80,INDEX('평가군 계산'!$L$6:$L$79,MATCH($A16&amp;"|2차",'평가군 계산'!$T$6:$T$79,0))),80)</f>
        <v/>
      </c>
      <c r="G16" s="19">
        <f>IF($D16&lt;6,"제5호 — 2차 100% + 1차 조정","-")</f>
        <v/>
      </c>
      <c r="H16" s="27">
        <f>IF($D16&lt;6,0,IF($C16="Y",0.5,0.6))</f>
        <v/>
      </c>
      <c r="I16" s="27">
        <f>IF($D16&lt;6,1,IF($C16="Y",0.5,0.4))</f>
        <v/>
      </c>
      <c r="J16" s="24">
        <f>ROUND(IF($D16&lt;6,$I16*$F16+($E16-$F16),$H16*$E16+$I16*$F16),3)</f>
        <v/>
      </c>
      <c r="K16" s="28" t="n">
        <v>91</v>
      </c>
      <c r="L16" s="16" t="n">
        <v>9</v>
      </c>
      <c r="M16" s="19">
        <f>COUNTIFS($L$9:$L$45,"&gt;=3")</f>
        <v/>
      </c>
      <c r="N16" s="19">
        <f>IF($L16&lt;3,"",COUNTIFS($L$9:$L$45,"&gt;=3",$K$9:$K$45,"&lt;"&amp;$K16)+1)</f>
        <v/>
      </c>
      <c r="O16" s="23">
        <f>IF($L16&lt;3,"",INDEX('s(n) 표'!$AQ$5:$AQ$43,MATCH($M16,'s(n) 표'!$A$5:$A$43,0)))</f>
        <v/>
      </c>
      <c r="P16" s="24">
        <f>IF($L16&lt;3,80,ROUND(MEDIAN(60,80+7*NORM.S.INV(($N16-0.375)/($M16+0.25))/$O16,100),3))</f>
        <v/>
      </c>
      <c r="Q16" s="16" t="n">
        <v>91</v>
      </c>
      <c r="R16" s="27">
        <f>IF($C16="Y",0.85,$B$4)+IF($L16&lt;3,IF($C16="Y",0.1,$B$5),0)</f>
        <v/>
      </c>
      <c r="S16" s="27">
        <f>IF($L16&lt;3,0,IF($C16="Y",0.1,$B$5))</f>
        <v/>
      </c>
      <c r="T16" s="24">
        <f>ROUND($R16*$J16+$S16*$P16+$B$6*$Q16,3)</f>
        <v/>
      </c>
      <c r="U16" s="19">
        <f>COUNTIF($B$9:$B$45,$B16)</f>
        <v/>
      </c>
      <c r="V16" s="19">
        <f>COUNTIFS($B$9:$B$45,$B16,$T$9:$T$45,"&gt;"&amp;$T16)+1</f>
        <v/>
      </c>
      <c r="W16" s="19">
        <f>INDEX($T$50:$T$51,MATCH($B16,$A$50:$A$51,0))</f>
        <v/>
      </c>
      <c r="X16" s="19">
        <f>INDEX($U$50:$U$51,MATCH($B16,$A$50:$A$51,0))</f>
        <v/>
      </c>
      <c r="Y16" s="19">
        <f>INDEX($V$50:$V$51,MATCH($B16,$A$50:$A$51,0))</f>
        <v/>
      </c>
      <c r="Z16" s="19">
        <f>INDEX($W$50:$W$51,MATCH($B16,$A$50:$A$51,0))</f>
        <v/>
      </c>
      <c r="AA16" s="11">
        <f>IF($V16&lt;=$W16,"S",IF($V16&lt;=$W16+$X16,"A",IF($V16&lt;=$W16+$X16+$Y16,"B","C")))</f>
        <v/>
      </c>
      <c r="AB16" s="19">
        <f>IF($AA16="S",$W16,IF($AA16="A",$X16,IF($AA16="B",$Y16,$Z16)))</f>
        <v/>
      </c>
      <c r="AC16" s="19">
        <f>$V16-IF($AA16="S",0,IF($AA16="A",$W16,IF($AA16="B",$W16+$X16,$W16+$X16+$Y16)))</f>
        <v/>
      </c>
      <c r="AD16" s="27">
        <f>ROUND(IF($AA16="S",100,IF($AA16="A",90,IF($AA16="B",80,70)))-(10/$AB16)*($AC16-1),3)</f>
        <v/>
      </c>
    </row>
    <row r="17">
      <c r="A17" s="19" t="inlineStr">
        <is>
          <t>직원09</t>
        </is>
      </c>
      <c r="B17" s="19" t="inlineStr">
        <is>
          <t>5급</t>
        </is>
      </c>
      <c r="C17" s="16" t="inlineStr">
        <is>
          <t>N</t>
        </is>
      </c>
      <c r="D17" s="19">
        <f>INDEX('평가군 계산'!$G$6:$G$79,MATCH($A17&amp;"|1차",'평가군 계산'!$T$6:$T$79,0))</f>
        <v/>
      </c>
      <c r="E17" s="24">
        <f>INDEX('평가군 계산'!$O$6:$O$79,MATCH($A17&amp;"|1차",'평가군 계산'!$T$6:$T$79,0))</f>
        <v/>
      </c>
      <c r="F17" s="24">
        <f>IFERROR(IF(INDEX('평가군 계산'!$L$6:$L$79,MATCH($A17&amp;"|2차",'평가군 계산'!$T$6:$T$79,0))="",80,INDEX('평가군 계산'!$L$6:$L$79,MATCH($A17&amp;"|2차",'평가군 계산'!$T$6:$T$79,0))),80)</f>
        <v/>
      </c>
      <c r="G17" s="19">
        <f>IF($D17&lt;6,"제5호 — 2차 100% + 1차 조정","-")</f>
        <v/>
      </c>
      <c r="H17" s="27">
        <f>IF($D17&lt;6,0,IF($C17="Y",0.5,0.6))</f>
        <v/>
      </c>
      <c r="I17" s="27">
        <f>IF($D17&lt;6,1,IF($C17="Y",0.5,0.4))</f>
        <v/>
      </c>
      <c r="J17" s="24">
        <f>ROUND(IF($D17&lt;6,$I17*$F17+($E17-$F17),$H17*$E17+$I17*$F17),3)</f>
        <v/>
      </c>
      <c r="K17" s="28" t="n">
        <v>74.2</v>
      </c>
      <c r="L17" s="16" t="n">
        <v>10</v>
      </c>
      <c r="M17" s="19">
        <f>COUNTIFS($L$9:$L$45,"&gt;=3")</f>
        <v/>
      </c>
      <c r="N17" s="19">
        <f>IF($L17&lt;3,"",COUNTIFS($L$9:$L$45,"&gt;=3",$K$9:$K$45,"&lt;"&amp;$K17)+1)</f>
        <v/>
      </c>
      <c r="O17" s="23">
        <f>IF($L17&lt;3,"",INDEX('s(n) 표'!$AQ$5:$AQ$43,MATCH($M17,'s(n) 표'!$A$5:$A$43,0)))</f>
        <v/>
      </c>
      <c r="P17" s="24">
        <f>IF($L17&lt;3,80,ROUND(MEDIAN(60,80+7*NORM.S.INV(($N17-0.375)/($M17+0.25))/$O17,100),3))</f>
        <v/>
      </c>
      <c r="Q17" s="16" t="n">
        <v>98</v>
      </c>
      <c r="R17" s="27">
        <f>IF($C17="Y",0.85,$B$4)+IF($L17&lt;3,IF($C17="Y",0.1,$B$5),0)</f>
        <v/>
      </c>
      <c r="S17" s="27">
        <f>IF($L17&lt;3,0,IF($C17="Y",0.1,$B$5))</f>
        <v/>
      </c>
      <c r="T17" s="24">
        <f>ROUND($R17*$J17+$S17*$P17+$B$6*$Q17,3)</f>
        <v/>
      </c>
      <c r="U17" s="19">
        <f>COUNTIF($B$9:$B$45,$B17)</f>
        <v/>
      </c>
      <c r="V17" s="19">
        <f>COUNTIFS($B$9:$B$45,$B17,$T$9:$T$45,"&gt;"&amp;$T17)+1</f>
        <v/>
      </c>
      <c r="W17" s="19">
        <f>INDEX($T$50:$T$51,MATCH($B17,$A$50:$A$51,0))</f>
        <v/>
      </c>
      <c r="X17" s="19">
        <f>INDEX($U$50:$U$51,MATCH($B17,$A$50:$A$51,0))</f>
        <v/>
      </c>
      <c r="Y17" s="19">
        <f>INDEX($V$50:$V$51,MATCH($B17,$A$50:$A$51,0))</f>
        <v/>
      </c>
      <c r="Z17" s="19">
        <f>INDEX($W$50:$W$51,MATCH($B17,$A$50:$A$51,0))</f>
        <v/>
      </c>
      <c r="AA17" s="11">
        <f>IF($V17&lt;=$W17,"S",IF($V17&lt;=$W17+$X17,"A",IF($V17&lt;=$W17+$X17+$Y17,"B","C")))</f>
        <v/>
      </c>
      <c r="AB17" s="19">
        <f>IF($AA17="S",$W17,IF($AA17="A",$X17,IF($AA17="B",$Y17,$Z17)))</f>
        <v/>
      </c>
      <c r="AC17" s="19">
        <f>$V17-IF($AA17="S",0,IF($AA17="A",$W17,IF($AA17="B",$W17+$X17,$W17+$X17+$Y17)))</f>
        <v/>
      </c>
      <c r="AD17" s="27">
        <f>ROUND(IF($AA17="S",100,IF($AA17="A",90,IF($AA17="B",80,70)))-(10/$AB17)*($AC17-1),3)</f>
        <v/>
      </c>
    </row>
    <row r="18">
      <c r="A18" s="19" t="inlineStr">
        <is>
          <t>직원10</t>
        </is>
      </c>
      <c r="B18" s="19" t="inlineStr">
        <is>
          <t>5급</t>
        </is>
      </c>
      <c r="C18" s="16" t="inlineStr">
        <is>
          <t>N</t>
        </is>
      </c>
      <c r="D18" s="19">
        <f>INDEX('평가군 계산'!$G$6:$G$79,MATCH($A18&amp;"|1차",'평가군 계산'!$T$6:$T$79,0))</f>
        <v/>
      </c>
      <c r="E18" s="24">
        <f>INDEX('평가군 계산'!$O$6:$O$79,MATCH($A18&amp;"|1차",'평가군 계산'!$T$6:$T$79,0))</f>
        <v/>
      </c>
      <c r="F18" s="24">
        <f>IFERROR(IF(INDEX('평가군 계산'!$L$6:$L$79,MATCH($A18&amp;"|2차",'평가군 계산'!$T$6:$T$79,0))="",80,INDEX('평가군 계산'!$L$6:$L$79,MATCH($A18&amp;"|2차",'평가군 계산'!$T$6:$T$79,0))),80)</f>
        <v/>
      </c>
      <c r="G18" s="19">
        <f>IF($D18&lt;6,"제5호 — 2차 100% + 1차 조정","-")</f>
        <v/>
      </c>
      <c r="H18" s="27">
        <f>IF($D18&lt;6,0,IF($C18="Y",0.5,0.6))</f>
        <v/>
      </c>
      <c r="I18" s="27">
        <f>IF($D18&lt;6,1,IF($C18="Y",0.5,0.4))</f>
        <v/>
      </c>
      <c r="J18" s="24">
        <f>ROUND(IF($D18&lt;6,$I18*$F18+($E18-$F18),$H18*$E18+$I18*$F18),3)</f>
        <v/>
      </c>
      <c r="K18" s="28" t="n">
        <v>83.3</v>
      </c>
      <c r="L18" s="16" t="n">
        <v>6</v>
      </c>
      <c r="M18" s="19">
        <f>COUNTIFS($L$9:$L$45,"&gt;=3")</f>
        <v/>
      </c>
      <c r="N18" s="19">
        <f>IF($L18&lt;3,"",COUNTIFS($L$9:$L$45,"&gt;=3",$K$9:$K$45,"&lt;"&amp;$K18)+1)</f>
        <v/>
      </c>
      <c r="O18" s="23">
        <f>IF($L18&lt;3,"",INDEX('s(n) 표'!$AQ$5:$AQ$43,MATCH($M18,'s(n) 표'!$A$5:$A$43,0)))</f>
        <v/>
      </c>
      <c r="P18" s="24">
        <f>IF($L18&lt;3,80,ROUND(MEDIAN(60,80+7*NORM.S.INV(($N18-0.375)/($M18+0.25))/$O18,100),3))</f>
        <v/>
      </c>
      <c r="Q18" s="16" t="n">
        <v>94</v>
      </c>
      <c r="R18" s="27">
        <f>IF($C18="Y",0.85,$B$4)+IF($L18&lt;3,IF($C18="Y",0.1,$B$5),0)</f>
        <v/>
      </c>
      <c r="S18" s="27">
        <f>IF($L18&lt;3,0,IF($C18="Y",0.1,$B$5))</f>
        <v/>
      </c>
      <c r="T18" s="24">
        <f>ROUND($R18*$J18+$S18*$P18+$B$6*$Q18,3)</f>
        <v/>
      </c>
      <c r="U18" s="19">
        <f>COUNTIF($B$9:$B$45,$B18)</f>
        <v/>
      </c>
      <c r="V18" s="19">
        <f>COUNTIFS($B$9:$B$45,$B18,$T$9:$T$45,"&gt;"&amp;$T18)+1</f>
        <v/>
      </c>
      <c r="W18" s="19">
        <f>INDEX($T$50:$T$51,MATCH($B18,$A$50:$A$51,0))</f>
        <v/>
      </c>
      <c r="X18" s="19">
        <f>INDEX($U$50:$U$51,MATCH($B18,$A$50:$A$51,0))</f>
        <v/>
      </c>
      <c r="Y18" s="19">
        <f>INDEX($V$50:$V$51,MATCH($B18,$A$50:$A$51,0))</f>
        <v/>
      </c>
      <c r="Z18" s="19">
        <f>INDEX($W$50:$W$51,MATCH($B18,$A$50:$A$51,0))</f>
        <v/>
      </c>
      <c r="AA18" s="11">
        <f>IF($V18&lt;=$W18,"S",IF($V18&lt;=$W18+$X18,"A",IF($V18&lt;=$W18+$X18+$Y18,"B","C")))</f>
        <v/>
      </c>
      <c r="AB18" s="19">
        <f>IF($AA18="S",$W18,IF($AA18="A",$X18,IF($AA18="B",$Y18,$Z18)))</f>
        <v/>
      </c>
      <c r="AC18" s="19">
        <f>$V18-IF($AA18="S",0,IF($AA18="A",$W18,IF($AA18="B",$W18+$X18,$W18+$X18+$Y18)))</f>
        <v/>
      </c>
      <c r="AD18" s="27">
        <f>ROUND(IF($AA18="S",100,IF($AA18="A",90,IF($AA18="B",80,70)))-(10/$AB18)*($AC18-1),3)</f>
        <v/>
      </c>
    </row>
    <row r="19">
      <c r="A19" s="19" t="inlineStr">
        <is>
          <t>직원11</t>
        </is>
      </c>
      <c r="B19" s="19" t="inlineStr">
        <is>
          <t>5급</t>
        </is>
      </c>
      <c r="C19" s="16" t="inlineStr">
        <is>
          <t>N</t>
        </is>
      </c>
      <c r="D19" s="19">
        <f>INDEX('평가군 계산'!$G$6:$G$79,MATCH($A19&amp;"|1차",'평가군 계산'!$T$6:$T$79,0))</f>
        <v/>
      </c>
      <c r="E19" s="24">
        <f>INDEX('평가군 계산'!$O$6:$O$79,MATCH($A19&amp;"|1차",'평가군 계산'!$T$6:$T$79,0))</f>
        <v/>
      </c>
      <c r="F19" s="24">
        <f>IFERROR(IF(INDEX('평가군 계산'!$L$6:$L$79,MATCH($A19&amp;"|2차",'평가군 계산'!$T$6:$T$79,0))="",80,INDEX('평가군 계산'!$L$6:$L$79,MATCH($A19&amp;"|2차",'평가군 계산'!$T$6:$T$79,0))),80)</f>
        <v/>
      </c>
      <c r="G19" s="19">
        <f>IF($D19&lt;6,"제5호 — 2차 100% + 1차 조정","-")</f>
        <v/>
      </c>
      <c r="H19" s="27">
        <f>IF($D19&lt;6,0,IF($C19="Y",0.5,0.6))</f>
        <v/>
      </c>
      <c r="I19" s="27">
        <f>IF($D19&lt;6,1,IF($C19="Y",0.5,0.4))</f>
        <v/>
      </c>
      <c r="J19" s="24">
        <f>ROUND(IF($D19&lt;6,$I19*$F19+($E19-$F19),$H19*$E19+$I19*$F19),3)</f>
        <v/>
      </c>
      <c r="K19" s="28" t="n">
        <v>92.40000000000001</v>
      </c>
      <c r="L19" s="16" t="n">
        <v>7</v>
      </c>
      <c r="M19" s="19">
        <f>COUNTIFS($L$9:$L$45,"&gt;=3")</f>
        <v/>
      </c>
      <c r="N19" s="19">
        <f>IF($L19&lt;3,"",COUNTIFS($L$9:$L$45,"&gt;=3",$K$9:$K$45,"&lt;"&amp;$K19)+1)</f>
        <v/>
      </c>
      <c r="O19" s="23">
        <f>IF($L19&lt;3,"",INDEX('s(n) 표'!$AQ$5:$AQ$43,MATCH($M19,'s(n) 표'!$A$5:$A$43,0)))</f>
        <v/>
      </c>
      <c r="P19" s="24">
        <f>IF($L19&lt;3,80,ROUND(MEDIAN(60,80+7*NORM.S.INV(($N19-0.375)/($M19+0.25))/$O19,100),3))</f>
        <v/>
      </c>
      <c r="Q19" s="16" t="n">
        <v>90</v>
      </c>
      <c r="R19" s="27">
        <f>IF($C19="Y",0.85,$B$4)+IF($L19&lt;3,IF($C19="Y",0.1,$B$5),0)</f>
        <v/>
      </c>
      <c r="S19" s="27">
        <f>IF($L19&lt;3,0,IF($C19="Y",0.1,$B$5))</f>
        <v/>
      </c>
      <c r="T19" s="24">
        <f>ROUND($R19*$J19+$S19*$P19+$B$6*$Q19,3)</f>
        <v/>
      </c>
      <c r="U19" s="19">
        <f>COUNTIF($B$9:$B$45,$B19)</f>
        <v/>
      </c>
      <c r="V19" s="19">
        <f>COUNTIFS($B$9:$B$45,$B19,$T$9:$T$45,"&gt;"&amp;$T19)+1</f>
        <v/>
      </c>
      <c r="W19" s="19">
        <f>INDEX($T$50:$T$51,MATCH($B19,$A$50:$A$51,0))</f>
        <v/>
      </c>
      <c r="X19" s="19">
        <f>INDEX($U$50:$U$51,MATCH($B19,$A$50:$A$51,0))</f>
        <v/>
      </c>
      <c r="Y19" s="19">
        <f>INDEX($V$50:$V$51,MATCH($B19,$A$50:$A$51,0))</f>
        <v/>
      </c>
      <c r="Z19" s="19">
        <f>INDEX($W$50:$W$51,MATCH($B19,$A$50:$A$51,0))</f>
        <v/>
      </c>
      <c r="AA19" s="11">
        <f>IF($V19&lt;=$W19,"S",IF($V19&lt;=$W19+$X19,"A",IF($V19&lt;=$W19+$X19+$Y19,"B","C")))</f>
        <v/>
      </c>
      <c r="AB19" s="19">
        <f>IF($AA19="S",$W19,IF($AA19="A",$X19,IF($AA19="B",$Y19,$Z19)))</f>
        <v/>
      </c>
      <c r="AC19" s="19">
        <f>$V19-IF($AA19="S",0,IF($AA19="A",$W19,IF($AA19="B",$W19+$X19,$W19+$X19+$Y19)))</f>
        <v/>
      </c>
      <c r="AD19" s="27">
        <f>ROUND(IF($AA19="S",100,IF($AA19="A",90,IF($AA19="B",80,70)))-(10/$AB19)*($AC19-1),3)</f>
        <v/>
      </c>
    </row>
    <row r="20">
      <c r="A20" s="19" t="inlineStr">
        <is>
          <t>직원12</t>
        </is>
      </c>
      <c r="B20" s="19" t="inlineStr">
        <is>
          <t>5급</t>
        </is>
      </c>
      <c r="C20" s="16" t="inlineStr">
        <is>
          <t>N</t>
        </is>
      </c>
      <c r="D20" s="19">
        <f>INDEX('평가군 계산'!$G$6:$G$79,MATCH($A20&amp;"|1차",'평가군 계산'!$T$6:$T$79,0))</f>
        <v/>
      </c>
      <c r="E20" s="24">
        <f>INDEX('평가군 계산'!$O$6:$O$79,MATCH($A20&amp;"|1차",'평가군 계산'!$T$6:$T$79,0))</f>
        <v/>
      </c>
      <c r="F20" s="24">
        <f>IFERROR(IF(INDEX('평가군 계산'!$L$6:$L$79,MATCH($A20&amp;"|2차",'평가군 계산'!$T$6:$T$79,0))="",80,INDEX('평가군 계산'!$L$6:$L$79,MATCH($A20&amp;"|2차",'평가군 계산'!$T$6:$T$79,0))),80)</f>
        <v/>
      </c>
      <c r="G20" s="19">
        <f>IF($D20&lt;6,"제5호 — 2차 100% + 1차 조정","-")</f>
        <v/>
      </c>
      <c r="H20" s="27">
        <f>IF($D20&lt;6,0,IF($C20="Y",0.5,0.6))</f>
        <v/>
      </c>
      <c r="I20" s="27">
        <f>IF($D20&lt;6,1,IF($C20="Y",0.5,0.4))</f>
        <v/>
      </c>
      <c r="J20" s="24">
        <f>ROUND(IF($D20&lt;6,$I20*$F20+($E20-$F20),$H20*$E20+$I20*$F20),3)</f>
        <v/>
      </c>
      <c r="K20" s="28" t="n">
        <v>75.59999999999999</v>
      </c>
      <c r="L20" s="16" t="n">
        <v>8</v>
      </c>
      <c r="M20" s="19">
        <f>COUNTIFS($L$9:$L$45,"&gt;=3")</f>
        <v/>
      </c>
      <c r="N20" s="19">
        <f>IF($L20&lt;3,"",COUNTIFS($L$9:$L$45,"&gt;=3",$K$9:$K$45,"&lt;"&amp;$K20)+1)</f>
        <v/>
      </c>
      <c r="O20" s="23">
        <f>IF($L20&lt;3,"",INDEX('s(n) 표'!$AQ$5:$AQ$43,MATCH($M20,'s(n) 표'!$A$5:$A$43,0)))</f>
        <v/>
      </c>
      <c r="P20" s="24">
        <f>IF($L20&lt;3,80,ROUND(MEDIAN(60,80+7*NORM.S.INV(($N20-0.375)/($M20+0.25))/$O20,100),3))</f>
        <v/>
      </c>
      <c r="Q20" s="16" t="n">
        <v>97</v>
      </c>
      <c r="R20" s="27">
        <f>IF($C20="Y",0.85,$B$4)+IF($L20&lt;3,IF($C20="Y",0.1,$B$5),0)</f>
        <v/>
      </c>
      <c r="S20" s="27">
        <f>IF($L20&lt;3,0,IF($C20="Y",0.1,$B$5))</f>
        <v/>
      </c>
      <c r="T20" s="24">
        <f>ROUND($R20*$J20+$S20*$P20+$B$6*$Q20,3)</f>
        <v/>
      </c>
      <c r="U20" s="19">
        <f>COUNTIF($B$9:$B$45,$B20)</f>
        <v/>
      </c>
      <c r="V20" s="19">
        <f>COUNTIFS($B$9:$B$45,$B20,$T$9:$T$45,"&gt;"&amp;$T20)+1</f>
        <v/>
      </c>
      <c r="W20" s="19">
        <f>INDEX($T$50:$T$51,MATCH($B20,$A$50:$A$51,0))</f>
        <v/>
      </c>
      <c r="X20" s="19">
        <f>INDEX($U$50:$U$51,MATCH($B20,$A$50:$A$51,0))</f>
        <v/>
      </c>
      <c r="Y20" s="19">
        <f>INDEX($V$50:$V$51,MATCH($B20,$A$50:$A$51,0))</f>
        <v/>
      </c>
      <c r="Z20" s="19">
        <f>INDEX($W$50:$W$51,MATCH($B20,$A$50:$A$51,0))</f>
        <v/>
      </c>
      <c r="AA20" s="11">
        <f>IF($V20&lt;=$W20,"S",IF($V20&lt;=$W20+$X20,"A",IF($V20&lt;=$W20+$X20+$Y20,"B","C")))</f>
        <v/>
      </c>
      <c r="AB20" s="19">
        <f>IF($AA20="S",$W20,IF($AA20="A",$X20,IF($AA20="B",$Y20,$Z20)))</f>
        <v/>
      </c>
      <c r="AC20" s="19">
        <f>$V20-IF($AA20="S",0,IF($AA20="A",$W20,IF($AA20="B",$W20+$X20,$W20+$X20+$Y20)))</f>
        <v/>
      </c>
      <c r="AD20" s="27">
        <f>ROUND(IF($AA20="S",100,IF($AA20="A",90,IF($AA20="B",80,70)))-(10/$AB20)*($AC20-1),3)</f>
        <v/>
      </c>
    </row>
    <row r="21">
      <c r="A21" s="19" t="inlineStr">
        <is>
          <t>직원13</t>
        </is>
      </c>
      <c r="B21" s="19" t="inlineStr">
        <is>
          <t>5급</t>
        </is>
      </c>
      <c r="C21" s="16" t="inlineStr">
        <is>
          <t>N</t>
        </is>
      </c>
      <c r="D21" s="19">
        <f>INDEX('평가군 계산'!$G$6:$G$79,MATCH($A21&amp;"|1차",'평가군 계산'!$T$6:$T$79,0))</f>
        <v/>
      </c>
      <c r="E21" s="24">
        <f>INDEX('평가군 계산'!$O$6:$O$79,MATCH($A21&amp;"|1차",'평가군 계산'!$T$6:$T$79,0))</f>
        <v/>
      </c>
      <c r="F21" s="24">
        <f>IFERROR(IF(INDEX('평가군 계산'!$L$6:$L$79,MATCH($A21&amp;"|2차",'평가군 계산'!$T$6:$T$79,0))="",80,INDEX('평가군 계산'!$L$6:$L$79,MATCH($A21&amp;"|2차",'평가군 계산'!$T$6:$T$79,0))),80)</f>
        <v/>
      </c>
      <c r="G21" s="19">
        <f>IF($D21&lt;6,"제5호 — 2차 100% + 1차 조정","-")</f>
        <v/>
      </c>
      <c r="H21" s="27">
        <f>IF($D21&lt;6,0,IF($C21="Y",0.5,0.6))</f>
        <v/>
      </c>
      <c r="I21" s="27">
        <f>IF($D21&lt;6,1,IF($C21="Y",0.5,0.4))</f>
        <v/>
      </c>
      <c r="J21" s="24">
        <f>ROUND(IF($D21&lt;6,$I21*$F21+($E21-$F21),$H21*$E21+$I21*$F21),3)</f>
        <v/>
      </c>
      <c r="K21" s="28" t="n">
        <v>84.7</v>
      </c>
      <c r="L21" s="16" t="n">
        <v>9</v>
      </c>
      <c r="M21" s="19">
        <f>COUNTIFS($L$9:$L$45,"&gt;=3")</f>
        <v/>
      </c>
      <c r="N21" s="19">
        <f>IF($L21&lt;3,"",COUNTIFS($L$9:$L$45,"&gt;=3",$K$9:$K$45,"&lt;"&amp;$K21)+1)</f>
        <v/>
      </c>
      <c r="O21" s="23">
        <f>IF($L21&lt;3,"",INDEX('s(n) 표'!$AQ$5:$AQ$43,MATCH($M21,'s(n) 표'!$A$5:$A$43,0)))</f>
        <v/>
      </c>
      <c r="P21" s="24">
        <f>IF($L21&lt;3,80,ROUND(MEDIAN(60,80+7*NORM.S.INV(($N21-0.375)/($M21+0.25))/$O21,100),3))</f>
        <v/>
      </c>
      <c r="Q21" s="16" t="n">
        <v>93</v>
      </c>
      <c r="R21" s="27">
        <f>IF($C21="Y",0.85,$B$4)+IF($L21&lt;3,IF($C21="Y",0.1,$B$5),0)</f>
        <v/>
      </c>
      <c r="S21" s="27">
        <f>IF($L21&lt;3,0,IF($C21="Y",0.1,$B$5))</f>
        <v/>
      </c>
      <c r="T21" s="24">
        <f>ROUND($R21*$J21+$S21*$P21+$B$6*$Q21,3)</f>
        <v/>
      </c>
      <c r="U21" s="19">
        <f>COUNTIF($B$9:$B$45,$B21)</f>
        <v/>
      </c>
      <c r="V21" s="19">
        <f>COUNTIFS($B$9:$B$45,$B21,$T$9:$T$45,"&gt;"&amp;$T21)+1</f>
        <v/>
      </c>
      <c r="W21" s="19">
        <f>INDEX($T$50:$T$51,MATCH($B21,$A$50:$A$51,0))</f>
        <v/>
      </c>
      <c r="X21" s="19">
        <f>INDEX($U$50:$U$51,MATCH($B21,$A$50:$A$51,0))</f>
        <v/>
      </c>
      <c r="Y21" s="19">
        <f>INDEX($V$50:$V$51,MATCH($B21,$A$50:$A$51,0))</f>
        <v/>
      </c>
      <c r="Z21" s="19">
        <f>INDEX($W$50:$W$51,MATCH($B21,$A$50:$A$51,0))</f>
        <v/>
      </c>
      <c r="AA21" s="11">
        <f>IF($V21&lt;=$W21,"S",IF($V21&lt;=$W21+$X21,"A",IF($V21&lt;=$W21+$X21+$Y21,"B","C")))</f>
        <v/>
      </c>
      <c r="AB21" s="19">
        <f>IF($AA21="S",$W21,IF($AA21="A",$X21,IF($AA21="B",$Y21,$Z21)))</f>
        <v/>
      </c>
      <c r="AC21" s="19">
        <f>$V21-IF($AA21="S",0,IF($AA21="A",$W21,IF($AA21="B",$W21+$X21,$W21+$X21+$Y21)))</f>
        <v/>
      </c>
      <c r="AD21" s="27">
        <f>ROUND(IF($AA21="S",100,IF($AA21="A",90,IF($AA21="B",80,70)))-(10/$AB21)*($AC21-1),3)</f>
        <v/>
      </c>
    </row>
    <row r="22">
      <c r="A22" s="19" t="inlineStr">
        <is>
          <t>직원14</t>
        </is>
      </c>
      <c r="B22" s="19" t="inlineStr">
        <is>
          <t>5급</t>
        </is>
      </c>
      <c r="C22" s="16" t="inlineStr">
        <is>
          <t>N</t>
        </is>
      </c>
      <c r="D22" s="19">
        <f>INDEX('평가군 계산'!$G$6:$G$79,MATCH($A22&amp;"|1차",'평가군 계산'!$T$6:$T$79,0))</f>
        <v/>
      </c>
      <c r="E22" s="24">
        <f>INDEX('평가군 계산'!$O$6:$O$79,MATCH($A22&amp;"|1차",'평가군 계산'!$T$6:$T$79,0))</f>
        <v/>
      </c>
      <c r="F22" s="24">
        <f>IFERROR(IF(INDEX('평가군 계산'!$L$6:$L$79,MATCH($A22&amp;"|2차",'평가군 계산'!$T$6:$T$79,0))="",80,INDEX('평가군 계산'!$L$6:$L$79,MATCH($A22&amp;"|2차",'평가군 계산'!$T$6:$T$79,0))),80)</f>
        <v/>
      </c>
      <c r="G22" s="19">
        <f>IF($D22&lt;6,"제5호 — 2차 100% + 1차 조정","-")</f>
        <v/>
      </c>
      <c r="H22" s="27">
        <f>IF($D22&lt;6,0,IF($C22="Y",0.5,0.6))</f>
        <v/>
      </c>
      <c r="I22" s="27">
        <f>IF($D22&lt;6,1,IF($C22="Y",0.5,0.4))</f>
        <v/>
      </c>
      <c r="J22" s="24">
        <f>ROUND(IF($D22&lt;6,$I22*$F22+($E22-$F22),$H22*$E22+$I22*$F22),3)</f>
        <v/>
      </c>
      <c r="K22" s="28" t="n">
        <v>93.8</v>
      </c>
      <c r="L22" s="16" t="n">
        <v>10</v>
      </c>
      <c r="M22" s="19">
        <f>COUNTIFS($L$9:$L$45,"&gt;=3")</f>
        <v/>
      </c>
      <c r="N22" s="19">
        <f>IF($L22&lt;3,"",COUNTIFS($L$9:$L$45,"&gt;=3",$K$9:$K$45,"&lt;"&amp;$K22)+1)</f>
        <v/>
      </c>
      <c r="O22" s="23">
        <f>IF($L22&lt;3,"",INDEX('s(n) 표'!$AQ$5:$AQ$43,MATCH($M22,'s(n) 표'!$A$5:$A$43,0)))</f>
        <v/>
      </c>
      <c r="P22" s="24">
        <f>IF($L22&lt;3,80,ROUND(MEDIAN(60,80+7*NORM.S.INV(($N22-0.375)/($M22+0.25))/$O22,100),3))</f>
        <v/>
      </c>
      <c r="Q22" s="16" t="n">
        <v>100</v>
      </c>
      <c r="R22" s="27">
        <f>IF($C22="Y",0.85,$B$4)+IF($L22&lt;3,IF($C22="Y",0.1,$B$5),0)</f>
        <v/>
      </c>
      <c r="S22" s="27">
        <f>IF($L22&lt;3,0,IF($C22="Y",0.1,$B$5))</f>
        <v/>
      </c>
      <c r="T22" s="24">
        <f>ROUND($R22*$J22+$S22*$P22+$B$6*$Q22,3)</f>
        <v/>
      </c>
      <c r="U22" s="19">
        <f>COUNTIF($B$9:$B$45,$B22)</f>
        <v/>
      </c>
      <c r="V22" s="19">
        <f>COUNTIFS($B$9:$B$45,$B22,$T$9:$T$45,"&gt;"&amp;$T22)+1</f>
        <v/>
      </c>
      <c r="W22" s="19">
        <f>INDEX($T$50:$T$51,MATCH($B22,$A$50:$A$51,0))</f>
        <v/>
      </c>
      <c r="X22" s="19">
        <f>INDEX($U$50:$U$51,MATCH($B22,$A$50:$A$51,0))</f>
        <v/>
      </c>
      <c r="Y22" s="19">
        <f>INDEX($V$50:$V$51,MATCH($B22,$A$50:$A$51,0))</f>
        <v/>
      </c>
      <c r="Z22" s="19">
        <f>INDEX($W$50:$W$51,MATCH($B22,$A$50:$A$51,0))</f>
        <v/>
      </c>
      <c r="AA22" s="11">
        <f>IF($V22&lt;=$W22,"S",IF($V22&lt;=$W22+$X22,"A",IF($V22&lt;=$W22+$X22+$Y22,"B","C")))</f>
        <v/>
      </c>
      <c r="AB22" s="19">
        <f>IF($AA22="S",$W22,IF($AA22="A",$X22,IF($AA22="B",$Y22,$Z22)))</f>
        <v/>
      </c>
      <c r="AC22" s="19">
        <f>$V22-IF($AA22="S",0,IF($AA22="A",$W22,IF($AA22="B",$W22+$X22,$W22+$X22+$Y22)))</f>
        <v/>
      </c>
      <c r="AD22" s="27">
        <f>ROUND(IF($AA22="S",100,IF($AA22="A",90,IF($AA22="B",80,70)))-(10/$AB22)*($AC22-1),3)</f>
        <v/>
      </c>
    </row>
    <row r="23">
      <c r="A23" s="19" t="inlineStr">
        <is>
          <t>직원15</t>
        </is>
      </c>
      <c r="B23" s="19" t="inlineStr">
        <is>
          <t>5급</t>
        </is>
      </c>
      <c r="C23" s="16" t="inlineStr">
        <is>
          <t>N</t>
        </is>
      </c>
      <c r="D23" s="19">
        <f>INDEX('평가군 계산'!$G$6:$G$79,MATCH($A23&amp;"|1차",'평가군 계산'!$T$6:$T$79,0))</f>
        <v/>
      </c>
      <c r="E23" s="24">
        <f>INDEX('평가군 계산'!$O$6:$O$79,MATCH($A23&amp;"|1차",'평가군 계산'!$T$6:$T$79,0))</f>
        <v/>
      </c>
      <c r="F23" s="24">
        <f>IFERROR(IF(INDEX('평가군 계산'!$L$6:$L$79,MATCH($A23&amp;"|2차",'평가군 계산'!$T$6:$T$79,0))="",80,INDEX('평가군 계산'!$L$6:$L$79,MATCH($A23&amp;"|2차",'평가군 계산'!$T$6:$T$79,0))),80)</f>
        <v/>
      </c>
      <c r="G23" s="19">
        <f>IF($D23&lt;6,"제5호 — 2차 100% + 1차 조정","-")</f>
        <v/>
      </c>
      <c r="H23" s="27">
        <f>IF($D23&lt;6,0,IF($C23="Y",0.5,0.6))</f>
        <v/>
      </c>
      <c r="I23" s="27">
        <f>IF($D23&lt;6,1,IF($C23="Y",0.5,0.4))</f>
        <v/>
      </c>
      <c r="J23" s="24">
        <f>ROUND(IF($D23&lt;6,$I23*$F23+($E23-$F23),$H23*$E23+$I23*$F23),3)</f>
        <v/>
      </c>
      <c r="K23" s="28" t="n">
        <v>77</v>
      </c>
      <c r="L23" s="16" t="n">
        <v>6</v>
      </c>
      <c r="M23" s="19">
        <f>COUNTIFS($L$9:$L$45,"&gt;=3")</f>
        <v/>
      </c>
      <c r="N23" s="19">
        <f>IF($L23&lt;3,"",COUNTIFS($L$9:$L$45,"&gt;=3",$K$9:$K$45,"&lt;"&amp;$K23)+1)</f>
        <v/>
      </c>
      <c r="O23" s="23">
        <f>IF($L23&lt;3,"",INDEX('s(n) 표'!$AQ$5:$AQ$43,MATCH($M23,'s(n) 표'!$A$5:$A$43,0)))</f>
        <v/>
      </c>
      <c r="P23" s="24">
        <f>IF($L23&lt;3,80,ROUND(MEDIAN(60,80+7*NORM.S.INV(($N23-0.375)/($M23+0.25))/$O23,100),3))</f>
        <v/>
      </c>
      <c r="Q23" s="16" t="n">
        <v>96</v>
      </c>
      <c r="R23" s="27">
        <f>IF($C23="Y",0.85,$B$4)+IF($L23&lt;3,IF($C23="Y",0.1,$B$5),0)</f>
        <v/>
      </c>
      <c r="S23" s="27">
        <f>IF($L23&lt;3,0,IF($C23="Y",0.1,$B$5))</f>
        <v/>
      </c>
      <c r="T23" s="24">
        <f>ROUND($R23*$J23+$S23*$P23+$B$6*$Q23,3)</f>
        <v/>
      </c>
      <c r="U23" s="19">
        <f>COUNTIF($B$9:$B$45,$B23)</f>
        <v/>
      </c>
      <c r="V23" s="19">
        <f>COUNTIFS($B$9:$B$45,$B23,$T$9:$T$45,"&gt;"&amp;$T23)+1</f>
        <v/>
      </c>
      <c r="W23" s="19">
        <f>INDEX($T$50:$T$51,MATCH($B23,$A$50:$A$51,0))</f>
        <v/>
      </c>
      <c r="X23" s="19">
        <f>INDEX($U$50:$U$51,MATCH($B23,$A$50:$A$51,0))</f>
        <v/>
      </c>
      <c r="Y23" s="19">
        <f>INDEX($V$50:$V$51,MATCH($B23,$A$50:$A$51,0))</f>
        <v/>
      </c>
      <c r="Z23" s="19">
        <f>INDEX($W$50:$W$51,MATCH($B23,$A$50:$A$51,0))</f>
        <v/>
      </c>
      <c r="AA23" s="11">
        <f>IF($V23&lt;=$W23,"S",IF($V23&lt;=$W23+$X23,"A",IF($V23&lt;=$W23+$X23+$Y23,"B","C")))</f>
        <v/>
      </c>
      <c r="AB23" s="19">
        <f>IF($AA23="S",$W23,IF($AA23="A",$X23,IF($AA23="B",$Y23,$Z23)))</f>
        <v/>
      </c>
      <c r="AC23" s="19">
        <f>$V23-IF($AA23="S",0,IF($AA23="A",$W23,IF($AA23="B",$W23+$X23,$W23+$X23+$Y23)))</f>
        <v/>
      </c>
      <c r="AD23" s="27">
        <f>ROUND(IF($AA23="S",100,IF($AA23="A",90,IF($AA23="B",80,70)))-(10/$AB23)*($AC23-1),3)</f>
        <v/>
      </c>
    </row>
    <row r="24">
      <c r="A24" s="19" t="inlineStr">
        <is>
          <t>직원16</t>
        </is>
      </c>
      <c r="B24" s="19" t="inlineStr">
        <is>
          <t>5급</t>
        </is>
      </c>
      <c r="C24" s="16" t="inlineStr">
        <is>
          <t>N</t>
        </is>
      </c>
      <c r="D24" s="19">
        <f>INDEX('평가군 계산'!$G$6:$G$79,MATCH($A24&amp;"|1차",'평가군 계산'!$T$6:$T$79,0))</f>
        <v/>
      </c>
      <c r="E24" s="24">
        <f>INDEX('평가군 계산'!$O$6:$O$79,MATCH($A24&amp;"|1차",'평가군 계산'!$T$6:$T$79,0))</f>
        <v/>
      </c>
      <c r="F24" s="24">
        <f>IFERROR(IF(INDEX('평가군 계산'!$L$6:$L$79,MATCH($A24&amp;"|2차",'평가군 계산'!$T$6:$T$79,0))="",80,INDEX('평가군 계산'!$L$6:$L$79,MATCH($A24&amp;"|2차",'평가군 계산'!$T$6:$T$79,0))),80)</f>
        <v/>
      </c>
      <c r="G24" s="19">
        <f>IF($D24&lt;6,"제5호 — 2차 100% + 1차 조정","-")</f>
        <v/>
      </c>
      <c r="H24" s="27">
        <f>IF($D24&lt;6,0,IF($C24="Y",0.5,0.6))</f>
        <v/>
      </c>
      <c r="I24" s="27">
        <f>IF($D24&lt;6,1,IF($C24="Y",0.5,0.4))</f>
        <v/>
      </c>
      <c r="J24" s="24">
        <f>ROUND(IF($D24&lt;6,$I24*$F24+($E24-$F24),$H24*$E24+$I24*$F24),3)</f>
        <v/>
      </c>
      <c r="K24" s="28" t="n">
        <v>86.09999999999999</v>
      </c>
      <c r="L24" s="16" t="n">
        <v>7</v>
      </c>
      <c r="M24" s="19">
        <f>COUNTIFS($L$9:$L$45,"&gt;=3")</f>
        <v/>
      </c>
      <c r="N24" s="19">
        <f>IF($L24&lt;3,"",COUNTIFS($L$9:$L$45,"&gt;=3",$K$9:$K$45,"&lt;"&amp;$K24)+1)</f>
        <v/>
      </c>
      <c r="O24" s="23">
        <f>IF($L24&lt;3,"",INDEX('s(n) 표'!$AQ$5:$AQ$43,MATCH($M24,'s(n) 표'!$A$5:$A$43,0)))</f>
        <v/>
      </c>
      <c r="P24" s="24">
        <f>IF($L24&lt;3,80,ROUND(MEDIAN(60,80+7*NORM.S.INV(($N24-0.375)/($M24+0.25))/$O24,100),3))</f>
        <v/>
      </c>
      <c r="Q24" s="16" t="n">
        <v>92</v>
      </c>
      <c r="R24" s="27">
        <f>IF($C24="Y",0.85,$B$4)+IF($L24&lt;3,IF($C24="Y",0.1,$B$5),0)</f>
        <v/>
      </c>
      <c r="S24" s="27">
        <f>IF($L24&lt;3,0,IF($C24="Y",0.1,$B$5))</f>
        <v/>
      </c>
      <c r="T24" s="24">
        <f>ROUND($R24*$J24+$S24*$P24+$B$6*$Q24,3)</f>
        <v/>
      </c>
      <c r="U24" s="19">
        <f>COUNTIF($B$9:$B$45,$B24)</f>
        <v/>
      </c>
      <c r="V24" s="19">
        <f>COUNTIFS($B$9:$B$45,$B24,$T$9:$T$45,"&gt;"&amp;$T24)+1</f>
        <v/>
      </c>
      <c r="W24" s="19">
        <f>INDEX($T$50:$T$51,MATCH($B24,$A$50:$A$51,0))</f>
        <v/>
      </c>
      <c r="X24" s="19">
        <f>INDEX($U$50:$U$51,MATCH($B24,$A$50:$A$51,0))</f>
        <v/>
      </c>
      <c r="Y24" s="19">
        <f>INDEX($V$50:$V$51,MATCH($B24,$A$50:$A$51,0))</f>
        <v/>
      </c>
      <c r="Z24" s="19">
        <f>INDEX($W$50:$W$51,MATCH($B24,$A$50:$A$51,0))</f>
        <v/>
      </c>
      <c r="AA24" s="11">
        <f>IF($V24&lt;=$W24,"S",IF($V24&lt;=$W24+$X24,"A",IF($V24&lt;=$W24+$X24+$Y24,"B","C")))</f>
        <v/>
      </c>
      <c r="AB24" s="19">
        <f>IF($AA24="S",$W24,IF($AA24="A",$X24,IF($AA24="B",$Y24,$Z24)))</f>
        <v/>
      </c>
      <c r="AC24" s="19">
        <f>$V24-IF($AA24="S",0,IF($AA24="A",$W24,IF($AA24="B",$W24+$X24,$W24+$X24+$Y24)))</f>
        <v/>
      </c>
      <c r="AD24" s="27">
        <f>ROUND(IF($AA24="S",100,IF($AA24="A",90,IF($AA24="B",80,70)))-(10/$AB24)*($AC24-1),3)</f>
        <v/>
      </c>
    </row>
    <row r="25">
      <c r="A25" s="19" t="inlineStr">
        <is>
          <t>직원17</t>
        </is>
      </c>
      <c r="B25" s="19" t="inlineStr">
        <is>
          <t>5급</t>
        </is>
      </c>
      <c r="C25" s="16" t="inlineStr">
        <is>
          <t>N</t>
        </is>
      </c>
      <c r="D25" s="19">
        <f>INDEX('평가군 계산'!$G$6:$G$79,MATCH($A25&amp;"|1차",'평가군 계산'!$T$6:$T$79,0))</f>
        <v/>
      </c>
      <c r="E25" s="24">
        <f>INDEX('평가군 계산'!$O$6:$O$79,MATCH($A25&amp;"|1차",'평가군 계산'!$T$6:$T$79,0))</f>
        <v/>
      </c>
      <c r="F25" s="24">
        <f>IFERROR(IF(INDEX('평가군 계산'!$L$6:$L$79,MATCH($A25&amp;"|2차",'평가군 계산'!$T$6:$T$79,0))="",80,INDEX('평가군 계산'!$L$6:$L$79,MATCH($A25&amp;"|2차",'평가군 계산'!$T$6:$T$79,0))),80)</f>
        <v/>
      </c>
      <c r="G25" s="19">
        <f>IF($D25&lt;6,"제5호 — 2차 100% + 1차 조정","-")</f>
        <v/>
      </c>
      <c r="H25" s="27">
        <f>IF($D25&lt;6,0,IF($C25="Y",0.5,0.6))</f>
        <v/>
      </c>
      <c r="I25" s="27">
        <f>IF($D25&lt;6,1,IF($C25="Y",0.5,0.4))</f>
        <v/>
      </c>
      <c r="J25" s="24">
        <f>ROUND(IF($D25&lt;6,$I25*$F25+($E25-$F25),$H25*$E25+$I25*$F25),3)</f>
        <v/>
      </c>
      <c r="K25" s="28" t="n">
        <v>95.2</v>
      </c>
      <c r="L25" s="16" t="n">
        <v>8</v>
      </c>
      <c r="M25" s="19">
        <f>COUNTIFS($L$9:$L$45,"&gt;=3")</f>
        <v/>
      </c>
      <c r="N25" s="19">
        <f>IF($L25&lt;3,"",COUNTIFS($L$9:$L$45,"&gt;=3",$K$9:$K$45,"&lt;"&amp;$K25)+1)</f>
        <v/>
      </c>
      <c r="O25" s="23">
        <f>IF($L25&lt;3,"",INDEX('s(n) 표'!$AQ$5:$AQ$43,MATCH($M25,'s(n) 표'!$A$5:$A$43,0)))</f>
        <v/>
      </c>
      <c r="P25" s="24">
        <f>IF($L25&lt;3,80,ROUND(MEDIAN(60,80+7*NORM.S.INV(($N25-0.375)/($M25+0.25))/$O25,100),3))</f>
        <v/>
      </c>
      <c r="Q25" s="16" t="n">
        <v>99</v>
      </c>
      <c r="R25" s="27">
        <f>IF($C25="Y",0.85,$B$4)+IF($L25&lt;3,IF($C25="Y",0.1,$B$5),0)</f>
        <v/>
      </c>
      <c r="S25" s="27">
        <f>IF($L25&lt;3,0,IF($C25="Y",0.1,$B$5))</f>
        <v/>
      </c>
      <c r="T25" s="24">
        <f>ROUND($R25*$J25+$S25*$P25+$B$6*$Q25,3)</f>
        <v/>
      </c>
      <c r="U25" s="19">
        <f>COUNTIF($B$9:$B$45,$B25)</f>
        <v/>
      </c>
      <c r="V25" s="19">
        <f>COUNTIFS($B$9:$B$45,$B25,$T$9:$T$45,"&gt;"&amp;$T25)+1</f>
        <v/>
      </c>
      <c r="W25" s="19">
        <f>INDEX($T$50:$T$51,MATCH($B25,$A$50:$A$51,0))</f>
        <v/>
      </c>
      <c r="X25" s="19">
        <f>INDEX($U$50:$U$51,MATCH($B25,$A$50:$A$51,0))</f>
        <v/>
      </c>
      <c r="Y25" s="19">
        <f>INDEX($V$50:$V$51,MATCH($B25,$A$50:$A$51,0))</f>
        <v/>
      </c>
      <c r="Z25" s="19">
        <f>INDEX($W$50:$W$51,MATCH($B25,$A$50:$A$51,0))</f>
        <v/>
      </c>
      <c r="AA25" s="11">
        <f>IF($V25&lt;=$W25,"S",IF($V25&lt;=$W25+$X25,"A",IF($V25&lt;=$W25+$X25+$Y25,"B","C")))</f>
        <v/>
      </c>
      <c r="AB25" s="19">
        <f>IF($AA25="S",$W25,IF($AA25="A",$X25,IF($AA25="B",$Y25,$Z25)))</f>
        <v/>
      </c>
      <c r="AC25" s="19">
        <f>$V25-IF($AA25="S",0,IF($AA25="A",$W25,IF($AA25="B",$W25+$X25,$W25+$X25+$Y25)))</f>
        <v/>
      </c>
      <c r="AD25" s="27">
        <f>ROUND(IF($AA25="S",100,IF($AA25="A",90,IF($AA25="B",80,70)))-(10/$AB25)*($AC25-1),3)</f>
        <v/>
      </c>
    </row>
    <row r="26">
      <c r="A26" s="19" t="inlineStr">
        <is>
          <t>직원18</t>
        </is>
      </c>
      <c r="B26" s="19" t="inlineStr">
        <is>
          <t>5급</t>
        </is>
      </c>
      <c r="C26" s="16" t="inlineStr">
        <is>
          <t>N</t>
        </is>
      </c>
      <c r="D26" s="19">
        <f>INDEX('평가군 계산'!$G$6:$G$79,MATCH($A26&amp;"|1차",'평가군 계산'!$T$6:$T$79,0))</f>
        <v/>
      </c>
      <c r="E26" s="24">
        <f>INDEX('평가군 계산'!$O$6:$O$79,MATCH($A26&amp;"|1차",'평가군 계산'!$T$6:$T$79,0))</f>
        <v/>
      </c>
      <c r="F26" s="24">
        <f>IFERROR(IF(INDEX('평가군 계산'!$L$6:$L$79,MATCH($A26&amp;"|2차",'평가군 계산'!$T$6:$T$79,0))="",80,INDEX('평가군 계산'!$L$6:$L$79,MATCH($A26&amp;"|2차",'평가군 계산'!$T$6:$T$79,0))),80)</f>
        <v/>
      </c>
      <c r="G26" s="19">
        <f>IF($D26&lt;6,"제5호 — 2차 100% + 1차 조정","-")</f>
        <v/>
      </c>
      <c r="H26" s="27">
        <f>IF($D26&lt;6,0,IF($C26="Y",0.5,0.6))</f>
        <v/>
      </c>
      <c r="I26" s="27">
        <f>IF($D26&lt;6,1,IF($C26="Y",0.5,0.4))</f>
        <v/>
      </c>
      <c r="J26" s="24">
        <f>ROUND(IF($D26&lt;6,$I26*$F26+($E26-$F26),$H26*$E26+$I26*$F26),3)</f>
        <v/>
      </c>
      <c r="K26" s="28" t="n">
        <v>78.40000000000001</v>
      </c>
      <c r="L26" s="16" t="n">
        <v>9</v>
      </c>
      <c r="M26" s="19">
        <f>COUNTIFS($L$9:$L$45,"&gt;=3")</f>
        <v/>
      </c>
      <c r="N26" s="19">
        <f>IF($L26&lt;3,"",COUNTIFS($L$9:$L$45,"&gt;=3",$K$9:$K$45,"&lt;"&amp;$K26)+1)</f>
        <v/>
      </c>
      <c r="O26" s="23">
        <f>IF($L26&lt;3,"",INDEX('s(n) 표'!$AQ$5:$AQ$43,MATCH($M26,'s(n) 표'!$A$5:$A$43,0)))</f>
        <v/>
      </c>
      <c r="P26" s="24">
        <f>IF($L26&lt;3,80,ROUND(MEDIAN(60,80+7*NORM.S.INV(($N26-0.375)/($M26+0.25))/$O26,100),3))</f>
        <v/>
      </c>
      <c r="Q26" s="16" t="n">
        <v>95</v>
      </c>
      <c r="R26" s="27">
        <f>IF($C26="Y",0.85,$B$4)+IF($L26&lt;3,IF($C26="Y",0.1,$B$5),0)</f>
        <v/>
      </c>
      <c r="S26" s="27">
        <f>IF($L26&lt;3,0,IF($C26="Y",0.1,$B$5))</f>
        <v/>
      </c>
      <c r="T26" s="24">
        <f>ROUND($R26*$J26+$S26*$P26+$B$6*$Q26,3)</f>
        <v/>
      </c>
      <c r="U26" s="19">
        <f>COUNTIF($B$9:$B$45,$B26)</f>
        <v/>
      </c>
      <c r="V26" s="19">
        <f>COUNTIFS($B$9:$B$45,$B26,$T$9:$T$45,"&gt;"&amp;$T26)+1</f>
        <v/>
      </c>
      <c r="W26" s="19">
        <f>INDEX($T$50:$T$51,MATCH($B26,$A$50:$A$51,0))</f>
        <v/>
      </c>
      <c r="X26" s="19">
        <f>INDEX($U$50:$U$51,MATCH($B26,$A$50:$A$51,0))</f>
        <v/>
      </c>
      <c r="Y26" s="19">
        <f>INDEX($V$50:$V$51,MATCH($B26,$A$50:$A$51,0))</f>
        <v/>
      </c>
      <c r="Z26" s="19">
        <f>INDEX($W$50:$W$51,MATCH($B26,$A$50:$A$51,0))</f>
        <v/>
      </c>
      <c r="AA26" s="11">
        <f>IF($V26&lt;=$W26,"S",IF($V26&lt;=$W26+$X26,"A",IF($V26&lt;=$W26+$X26+$Y26,"B","C")))</f>
        <v/>
      </c>
      <c r="AB26" s="19">
        <f>IF($AA26="S",$W26,IF($AA26="A",$X26,IF($AA26="B",$Y26,$Z26)))</f>
        <v/>
      </c>
      <c r="AC26" s="19">
        <f>$V26-IF($AA26="S",0,IF($AA26="A",$W26,IF($AA26="B",$W26+$X26,$W26+$X26+$Y26)))</f>
        <v/>
      </c>
      <c r="AD26" s="27">
        <f>ROUND(IF($AA26="S",100,IF($AA26="A",90,IF($AA26="B",80,70)))-(10/$AB26)*($AC26-1),3)</f>
        <v/>
      </c>
    </row>
    <row r="27">
      <c r="A27" s="19" t="inlineStr">
        <is>
          <t>직원19</t>
        </is>
      </c>
      <c r="B27" s="19" t="inlineStr">
        <is>
          <t>5급</t>
        </is>
      </c>
      <c r="C27" s="16" t="inlineStr">
        <is>
          <t>N</t>
        </is>
      </c>
      <c r="D27" s="19">
        <f>INDEX('평가군 계산'!$G$6:$G$79,MATCH($A27&amp;"|1차",'평가군 계산'!$T$6:$T$79,0))</f>
        <v/>
      </c>
      <c r="E27" s="24">
        <f>INDEX('평가군 계산'!$O$6:$O$79,MATCH($A27&amp;"|1차",'평가군 계산'!$T$6:$T$79,0))</f>
        <v/>
      </c>
      <c r="F27" s="24">
        <f>IFERROR(IF(INDEX('평가군 계산'!$L$6:$L$79,MATCH($A27&amp;"|2차",'평가군 계산'!$T$6:$T$79,0))="",80,INDEX('평가군 계산'!$L$6:$L$79,MATCH($A27&amp;"|2차",'평가군 계산'!$T$6:$T$79,0))),80)</f>
        <v/>
      </c>
      <c r="G27" s="19">
        <f>IF($D27&lt;6,"제5호 — 2차 100% + 1차 조정","-")</f>
        <v/>
      </c>
      <c r="H27" s="27">
        <f>IF($D27&lt;6,0,IF($C27="Y",0.5,0.6))</f>
        <v/>
      </c>
      <c r="I27" s="27">
        <f>IF($D27&lt;6,1,IF($C27="Y",0.5,0.4))</f>
        <v/>
      </c>
      <c r="J27" s="24">
        <f>ROUND(IF($D27&lt;6,$I27*$F27+($E27-$F27),$H27*$E27+$I27*$F27),3)</f>
        <v/>
      </c>
      <c r="K27" s="28" t="n">
        <v>87.5</v>
      </c>
      <c r="L27" s="16" t="n">
        <v>10</v>
      </c>
      <c r="M27" s="19">
        <f>COUNTIFS($L$9:$L$45,"&gt;=3")</f>
        <v/>
      </c>
      <c r="N27" s="19">
        <f>IF($L27&lt;3,"",COUNTIFS($L$9:$L$45,"&gt;=3",$K$9:$K$45,"&lt;"&amp;$K27)+1)</f>
        <v/>
      </c>
      <c r="O27" s="23">
        <f>IF($L27&lt;3,"",INDEX('s(n) 표'!$AQ$5:$AQ$43,MATCH($M27,'s(n) 표'!$A$5:$A$43,0)))</f>
        <v/>
      </c>
      <c r="P27" s="24">
        <f>IF($L27&lt;3,80,ROUND(MEDIAN(60,80+7*NORM.S.INV(($N27-0.375)/($M27+0.25))/$O27,100),3))</f>
        <v/>
      </c>
      <c r="Q27" s="16" t="n">
        <v>91</v>
      </c>
      <c r="R27" s="27">
        <f>IF($C27="Y",0.85,$B$4)+IF($L27&lt;3,IF($C27="Y",0.1,$B$5),0)</f>
        <v/>
      </c>
      <c r="S27" s="27">
        <f>IF($L27&lt;3,0,IF($C27="Y",0.1,$B$5))</f>
        <v/>
      </c>
      <c r="T27" s="24">
        <f>ROUND($R27*$J27+$S27*$P27+$B$6*$Q27,3)</f>
        <v/>
      </c>
      <c r="U27" s="19">
        <f>COUNTIF($B$9:$B$45,$B27)</f>
        <v/>
      </c>
      <c r="V27" s="19">
        <f>COUNTIFS($B$9:$B$45,$B27,$T$9:$T$45,"&gt;"&amp;$T27)+1</f>
        <v/>
      </c>
      <c r="W27" s="19">
        <f>INDEX($T$50:$T$51,MATCH($B27,$A$50:$A$51,0))</f>
        <v/>
      </c>
      <c r="X27" s="19">
        <f>INDEX($U$50:$U$51,MATCH($B27,$A$50:$A$51,0))</f>
        <v/>
      </c>
      <c r="Y27" s="19">
        <f>INDEX($V$50:$V$51,MATCH($B27,$A$50:$A$51,0))</f>
        <v/>
      </c>
      <c r="Z27" s="19">
        <f>INDEX($W$50:$W$51,MATCH($B27,$A$50:$A$51,0))</f>
        <v/>
      </c>
      <c r="AA27" s="11">
        <f>IF($V27&lt;=$W27,"S",IF($V27&lt;=$W27+$X27,"A",IF($V27&lt;=$W27+$X27+$Y27,"B","C")))</f>
        <v/>
      </c>
      <c r="AB27" s="19">
        <f>IF($AA27="S",$W27,IF($AA27="A",$X27,IF($AA27="B",$Y27,$Z27)))</f>
        <v/>
      </c>
      <c r="AC27" s="19">
        <f>$V27-IF($AA27="S",0,IF($AA27="A",$W27,IF($AA27="B",$W27+$X27,$W27+$X27+$Y27)))</f>
        <v/>
      </c>
      <c r="AD27" s="27">
        <f>ROUND(IF($AA27="S",100,IF($AA27="A",90,IF($AA27="B",80,70)))-(10/$AB27)*($AC27-1),3)</f>
        <v/>
      </c>
    </row>
    <row r="28">
      <c r="A28" s="19" t="inlineStr">
        <is>
          <t>직원20</t>
        </is>
      </c>
      <c r="B28" s="19" t="inlineStr">
        <is>
          <t>5급</t>
        </is>
      </c>
      <c r="C28" s="16" t="inlineStr">
        <is>
          <t>N</t>
        </is>
      </c>
      <c r="D28" s="19">
        <f>INDEX('평가군 계산'!$G$6:$G$79,MATCH($A28&amp;"|1차",'평가군 계산'!$T$6:$T$79,0))</f>
        <v/>
      </c>
      <c r="E28" s="24">
        <f>INDEX('평가군 계산'!$O$6:$O$79,MATCH($A28&amp;"|1차",'평가군 계산'!$T$6:$T$79,0))</f>
        <v/>
      </c>
      <c r="F28" s="24">
        <f>IFERROR(IF(INDEX('평가군 계산'!$L$6:$L$79,MATCH($A28&amp;"|2차",'평가군 계산'!$T$6:$T$79,0))="",80,INDEX('평가군 계산'!$L$6:$L$79,MATCH($A28&amp;"|2차",'평가군 계산'!$T$6:$T$79,0))),80)</f>
        <v/>
      </c>
      <c r="G28" s="19">
        <f>IF($D28&lt;6,"제5호 — 2차 100% + 1차 조정","-")</f>
        <v/>
      </c>
      <c r="H28" s="27">
        <f>IF($D28&lt;6,0,IF($C28="Y",0.5,0.6))</f>
        <v/>
      </c>
      <c r="I28" s="27">
        <f>IF($D28&lt;6,1,IF($C28="Y",0.5,0.4))</f>
        <v/>
      </c>
      <c r="J28" s="24">
        <f>ROUND(IF($D28&lt;6,$I28*$F28+($E28-$F28),$H28*$E28+$I28*$F28),3)</f>
        <v/>
      </c>
      <c r="K28" s="28" t="n">
        <v>70.7</v>
      </c>
      <c r="L28" s="16" t="n">
        <v>6</v>
      </c>
      <c r="M28" s="19">
        <f>COUNTIFS($L$9:$L$45,"&gt;=3")</f>
        <v/>
      </c>
      <c r="N28" s="19">
        <f>IF($L28&lt;3,"",COUNTIFS($L$9:$L$45,"&gt;=3",$K$9:$K$45,"&lt;"&amp;$K28)+1)</f>
        <v/>
      </c>
      <c r="O28" s="23">
        <f>IF($L28&lt;3,"",INDEX('s(n) 표'!$AQ$5:$AQ$43,MATCH($M28,'s(n) 표'!$A$5:$A$43,0)))</f>
        <v/>
      </c>
      <c r="P28" s="24">
        <f>IF($L28&lt;3,80,ROUND(MEDIAN(60,80+7*NORM.S.INV(($N28-0.375)/($M28+0.25))/$O28,100),3))</f>
        <v/>
      </c>
      <c r="Q28" s="16" t="n">
        <v>98</v>
      </c>
      <c r="R28" s="27">
        <f>IF($C28="Y",0.85,$B$4)+IF($L28&lt;3,IF($C28="Y",0.1,$B$5),0)</f>
        <v/>
      </c>
      <c r="S28" s="27">
        <f>IF($L28&lt;3,0,IF($C28="Y",0.1,$B$5))</f>
        <v/>
      </c>
      <c r="T28" s="24">
        <f>ROUND($R28*$J28+$S28*$P28+$B$6*$Q28,3)</f>
        <v/>
      </c>
      <c r="U28" s="19">
        <f>COUNTIF($B$9:$B$45,$B28)</f>
        <v/>
      </c>
      <c r="V28" s="19">
        <f>COUNTIFS($B$9:$B$45,$B28,$T$9:$T$45,"&gt;"&amp;$T28)+1</f>
        <v/>
      </c>
      <c r="W28" s="19">
        <f>INDEX($T$50:$T$51,MATCH($B28,$A$50:$A$51,0))</f>
        <v/>
      </c>
      <c r="X28" s="19">
        <f>INDEX($U$50:$U$51,MATCH($B28,$A$50:$A$51,0))</f>
        <v/>
      </c>
      <c r="Y28" s="19">
        <f>INDEX($V$50:$V$51,MATCH($B28,$A$50:$A$51,0))</f>
        <v/>
      </c>
      <c r="Z28" s="19">
        <f>INDEX($W$50:$W$51,MATCH($B28,$A$50:$A$51,0))</f>
        <v/>
      </c>
      <c r="AA28" s="11">
        <f>IF($V28&lt;=$W28,"S",IF($V28&lt;=$W28+$X28,"A",IF($V28&lt;=$W28+$X28+$Y28,"B","C")))</f>
        <v/>
      </c>
      <c r="AB28" s="19">
        <f>IF($AA28="S",$W28,IF($AA28="A",$X28,IF($AA28="B",$Y28,$Z28)))</f>
        <v/>
      </c>
      <c r="AC28" s="19">
        <f>$V28-IF($AA28="S",0,IF($AA28="A",$W28,IF($AA28="B",$W28+$X28,$W28+$X28+$Y28)))</f>
        <v/>
      </c>
      <c r="AD28" s="27">
        <f>ROUND(IF($AA28="S",100,IF($AA28="A",90,IF($AA28="B",80,70)))-(10/$AB28)*($AC28-1),3)</f>
        <v/>
      </c>
    </row>
    <row r="29">
      <c r="A29" s="19" t="inlineStr">
        <is>
          <t>직원21</t>
        </is>
      </c>
      <c r="B29" s="19" t="inlineStr">
        <is>
          <t>5급</t>
        </is>
      </c>
      <c r="C29" s="16" t="inlineStr">
        <is>
          <t>N</t>
        </is>
      </c>
      <c r="D29" s="19">
        <f>INDEX('평가군 계산'!$G$6:$G$79,MATCH($A29&amp;"|1차",'평가군 계산'!$T$6:$T$79,0))</f>
        <v/>
      </c>
      <c r="E29" s="24">
        <f>INDEX('평가군 계산'!$O$6:$O$79,MATCH($A29&amp;"|1차",'평가군 계산'!$T$6:$T$79,0))</f>
        <v/>
      </c>
      <c r="F29" s="24">
        <f>IFERROR(IF(INDEX('평가군 계산'!$L$6:$L$79,MATCH($A29&amp;"|2차",'평가군 계산'!$T$6:$T$79,0))="",80,INDEX('평가군 계산'!$L$6:$L$79,MATCH($A29&amp;"|2차",'평가군 계산'!$T$6:$T$79,0))),80)</f>
        <v/>
      </c>
      <c r="G29" s="19">
        <f>IF($D29&lt;6,"제5호 — 2차 100% + 1차 조정","-")</f>
        <v/>
      </c>
      <c r="H29" s="27">
        <f>IF($D29&lt;6,0,IF($C29="Y",0.5,0.6))</f>
        <v/>
      </c>
      <c r="I29" s="27">
        <f>IF($D29&lt;6,1,IF($C29="Y",0.5,0.4))</f>
        <v/>
      </c>
      <c r="J29" s="24">
        <f>ROUND(IF($D29&lt;6,$I29*$F29+($E29-$F29),$H29*$E29+$I29*$F29),3)</f>
        <v/>
      </c>
      <c r="K29" s="28" t="n">
        <v>79.8</v>
      </c>
      <c r="L29" s="16" t="n">
        <v>7</v>
      </c>
      <c r="M29" s="19">
        <f>COUNTIFS($L$9:$L$45,"&gt;=3")</f>
        <v/>
      </c>
      <c r="N29" s="19">
        <f>IF($L29&lt;3,"",COUNTIFS($L$9:$L$45,"&gt;=3",$K$9:$K$45,"&lt;"&amp;$K29)+1)</f>
        <v/>
      </c>
      <c r="O29" s="23">
        <f>IF($L29&lt;3,"",INDEX('s(n) 표'!$AQ$5:$AQ$43,MATCH($M29,'s(n) 표'!$A$5:$A$43,0)))</f>
        <v/>
      </c>
      <c r="P29" s="24">
        <f>IF($L29&lt;3,80,ROUND(MEDIAN(60,80+7*NORM.S.INV(($N29-0.375)/($M29+0.25))/$O29,100),3))</f>
        <v/>
      </c>
      <c r="Q29" s="16" t="n">
        <v>94</v>
      </c>
      <c r="R29" s="27">
        <f>IF($C29="Y",0.85,$B$4)+IF($L29&lt;3,IF($C29="Y",0.1,$B$5),0)</f>
        <v/>
      </c>
      <c r="S29" s="27">
        <f>IF($L29&lt;3,0,IF($C29="Y",0.1,$B$5))</f>
        <v/>
      </c>
      <c r="T29" s="24">
        <f>ROUND($R29*$J29+$S29*$P29+$B$6*$Q29,3)</f>
        <v/>
      </c>
      <c r="U29" s="19">
        <f>COUNTIF($B$9:$B$45,$B29)</f>
        <v/>
      </c>
      <c r="V29" s="19">
        <f>COUNTIFS($B$9:$B$45,$B29,$T$9:$T$45,"&gt;"&amp;$T29)+1</f>
        <v/>
      </c>
      <c r="W29" s="19">
        <f>INDEX($T$50:$T$51,MATCH($B29,$A$50:$A$51,0))</f>
        <v/>
      </c>
      <c r="X29" s="19">
        <f>INDEX($U$50:$U$51,MATCH($B29,$A$50:$A$51,0))</f>
        <v/>
      </c>
      <c r="Y29" s="19">
        <f>INDEX($V$50:$V$51,MATCH($B29,$A$50:$A$51,0))</f>
        <v/>
      </c>
      <c r="Z29" s="19">
        <f>INDEX($W$50:$W$51,MATCH($B29,$A$50:$A$51,0))</f>
        <v/>
      </c>
      <c r="AA29" s="11">
        <f>IF($V29&lt;=$W29,"S",IF($V29&lt;=$W29+$X29,"A",IF($V29&lt;=$W29+$X29+$Y29,"B","C")))</f>
        <v/>
      </c>
      <c r="AB29" s="19">
        <f>IF($AA29="S",$W29,IF($AA29="A",$X29,IF($AA29="B",$Y29,$Z29)))</f>
        <v/>
      </c>
      <c r="AC29" s="19">
        <f>$V29-IF($AA29="S",0,IF($AA29="A",$W29,IF($AA29="B",$W29+$X29,$W29+$X29+$Y29)))</f>
        <v/>
      </c>
      <c r="AD29" s="27">
        <f>ROUND(IF($AA29="S",100,IF($AA29="A",90,IF($AA29="B",80,70)))-(10/$AB29)*($AC29-1),3)</f>
        <v/>
      </c>
    </row>
    <row r="30">
      <c r="A30" s="19" t="inlineStr">
        <is>
          <t>직원22</t>
        </is>
      </c>
      <c r="B30" s="19" t="inlineStr">
        <is>
          <t>5급</t>
        </is>
      </c>
      <c r="C30" s="16" t="inlineStr">
        <is>
          <t>N</t>
        </is>
      </c>
      <c r="D30" s="19">
        <f>INDEX('평가군 계산'!$G$6:$G$79,MATCH($A30&amp;"|1차",'평가군 계산'!$T$6:$T$79,0))</f>
        <v/>
      </c>
      <c r="E30" s="24">
        <f>INDEX('평가군 계산'!$O$6:$O$79,MATCH($A30&amp;"|1차",'평가군 계산'!$T$6:$T$79,0))</f>
        <v/>
      </c>
      <c r="F30" s="24">
        <f>IFERROR(IF(INDEX('평가군 계산'!$L$6:$L$79,MATCH($A30&amp;"|2차",'평가군 계산'!$T$6:$T$79,0))="",80,INDEX('평가군 계산'!$L$6:$L$79,MATCH($A30&amp;"|2차",'평가군 계산'!$T$6:$T$79,0))),80)</f>
        <v/>
      </c>
      <c r="G30" s="19">
        <f>IF($D30&lt;6,"제5호 — 2차 100% + 1차 조정","-")</f>
        <v/>
      </c>
      <c r="H30" s="27">
        <f>IF($D30&lt;6,0,IF($C30="Y",0.5,0.6))</f>
        <v/>
      </c>
      <c r="I30" s="27">
        <f>IF($D30&lt;6,1,IF($C30="Y",0.5,0.4))</f>
        <v/>
      </c>
      <c r="J30" s="24">
        <f>ROUND(IF($D30&lt;6,$I30*$F30+($E30-$F30),$H30*$E30+$I30*$F30),3)</f>
        <v/>
      </c>
      <c r="K30" s="28" t="n">
        <v>88.90000000000001</v>
      </c>
      <c r="L30" s="16" t="n">
        <v>8</v>
      </c>
      <c r="M30" s="19">
        <f>COUNTIFS($L$9:$L$45,"&gt;=3")</f>
        <v/>
      </c>
      <c r="N30" s="19">
        <f>IF($L30&lt;3,"",COUNTIFS($L$9:$L$45,"&gt;=3",$K$9:$K$45,"&lt;"&amp;$K30)+1)</f>
        <v/>
      </c>
      <c r="O30" s="23">
        <f>IF($L30&lt;3,"",INDEX('s(n) 표'!$AQ$5:$AQ$43,MATCH($M30,'s(n) 표'!$A$5:$A$43,0)))</f>
        <v/>
      </c>
      <c r="P30" s="24">
        <f>IF($L30&lt;3,80,ROUND(MEDIAN(60,80+7*NORM.S.INV(($N30-0.375)/($M30+0.25))/$O30,100),3))</f>
        <v/>
      </c>
      <c r="Q30" s="16" t="n">
        <v>90</v>
      </c>
      <c r="R30" s="27">
        <f>IF($C30="Y",0.85,$B$4)+IF($L30&lt;3,IF($C30="Y",0.1,$B$5),0)</f>
        <v/>
      </c>
      <c r="S30" s="27">
        <f>IF($L30&lt;3,0,IF($C30="Y",0.1,$B$5))</f>
        <v/>
      </c>
      <c r="T30" s="24">
        <f>ROUND($R30*$J30+$S30*$P30+$B$6*$Q30,3)</f>
        <v/>
      </c>
      <c r="U30" s="19">
        <f>COUNTIF($B$9:$B$45,$B30)</f>
        <v/>
      </c>
      <c r="V30" s="19">
        <f>COUNTIFS($B$9:$B$45,$B30,$T$9:$T$45,"&gt;"&amp;$T30)+1</f>
        <v/>
      </c>
      <c r="W30" s="19">
        <f>INDEX($T$50:$T$51,MATCH($B30,$A$50:$A$51,0))</f>
        <v/>
      </c>
      <c r="X30" s="19">
        <f>INDEX($U$50:$U$51,MATCH($B30,$A$50:$A$51,0))</f>
        <v/>
      </c>
      <c r="Y30" s="19">
        <f>INDEX($V$50:$V$51,MATCH($B30,$A$50:$A$51,0))</f>
        <v/>
      </c>
      <c r="Z30" s="19">
        <f>INDEX($W$50:$W$51,MATCH($B30,$A$50:$A$51,0))</f>
        <v/>
      </c>
      <c r="AA30" s="11">
        <f>IF($V30&lt;=$W30,"S",IF($V30&lt;=$W30+$X30,"A",IF($V30&lt;=$W30+$X30+$Y30,"B","C")))</f>
        <v/>
      </c>
      <c r="AB30" s="19">
        <f>IF($AA30="S",$W30,IF($AA30="A",$X30,IF($AA30="B",$Y30,$Z30)))</f>
        <v/>
      </c>
      <c r="AC30" s="19">
        <f>$V30-IF($AA30="S",0,IF($AA30="A",$W30,IF($AA30="B",$W30+$X30,$W30+$X30+$Y30)))</f>
        <v/>
      </c>
      <c r="AD30" s="27">
        <f>ROUND(IF($AA30="S",100,IF($AA30="A",90,IF($AA30="B",80,70)))-(10/$AB30)*($AC30-1),3)</f>
        <v/>
      </c>
    </row>
    <row r="31">
      <c r="A31" s="19" t="inlineStr">
        <is>
          <t>직원23</t>
        </is>
      </c>
      <c r="B31" s="19" t="inlineStr">
        <is>
          <t>5급</t>
        </is>
      </c>
      <c r="C31" s="16" t="inlineStr">
        <is>
          <t>N</t>
        </is>
      </c>
      <c r="D31" s="19">
        <f>INDEX('평가군 계산'!$G$6:$G$79,MATCH($A31&amp;"|1차",'평가군 계산'!$T$6:$T$79,0))</f>
        <v/>
      </c>
      <c r="E31" s="24">
        <f>INDEX('평가군 계산'!$O$6:$O$79,MATCH($A31&amp;"|1차",'평가군 계산'!$T$6:$T$79,0))</f>
        <v/>
      </c>
      <c r="F31" s="24">
        <f>IFERROR(IF(INDEX('평가군 계산'!$L$6:$L$79,MATCH($A31&amp;"|2차",'평가군 계산'!$T$6:$T$79,0))="",80,INDEX('평가군 계산'!$L$6:$L$79,MATCH($A31&amp;"|2차",'평가군 계산'!$T$6:$T$79,0))),80)</f>
        <v/>
      </c>
      <c r="G31" s="19">
        <f>IF($D31&lt;6,"제5호 — 2차 100% + 1차 조정","-")</f>
        <v/>
      </c>
      <c r="H31" s="27">
        <f>IF($D31&lt;6,0,IF($C31="Y",0.5,0.6))</f>
        <v/>
      </c>
      <c r="I31" s="27">
        <f>IF($D31&lt;6,1,IF($C31="Y",0.5,0.4))</f>
        <v/>
      </c>
      <c r="J31" s="24">
        <f>ROUND(IF($D31&lt;6,$I31*$F31+($E31-$F31),$H31*$E31+$I31*$F31),3)</f>
        <v/>
      </c>
      <c r="K31" s="28" t="n">
        <v>72.09999999999999</v>
      </c>
      <c r="L31" s="16" t="n">
        <v>9</v>
      </c>
      <c r="M31" s="19">
        <f>COUNTIFS($L$9:$L$45,"&gt;=3")</f>
        <v/>
      </c>
      <c r="N31" s="19">
        <f>IF($L31&lt;3,"",COUNTIFS($L$9:$L$45,"&gt;=3",$K$9:$K$45,"&lt;"&amp;$K31)+1)</f>
        <v/>
      </c>
      <c r="O31" s="23">
        <f>IF($L31&lt;3,"",INDEX('s(n) 표'!$AQ$5:$AQ$43,MATCH($M31,'s(n) 표'!$A$5:$A$43,0)))</f>
        <v/>
      </c>
      <c r="P31" s="24">
        <f>IF($L31&lt;3,80,ROUND(MEDIAN(60,80+7*NORM.S.INV(($N31-0.375)/($M31+0.25))/$O31,100),3))</f>
        <v/>
      </c>
      <c r="Q31" s="16" t="n">
        <v>97</v>
      </c>
      <c r="R31" s="27">
        <f>IF($C31="Y",0.85,$B$4)+IF($L31&lt;3,IF($C31="Y",0.1,$B$5),0)</f>
        <v/>
      </c>
      <c r="S31" s="27">
        <f>IF($L31&lt;3,0,IF($C31="Y",0.1,$B$5))</f>
        <v/>
      </c>
      <c r="T31" s="24">
        <f>ROUND($R31*$J31+$S31*$P31+$B$6*$Q31,3)</f>
        <v/>
      </c>
      <c r="U31" s="19">
        <f>COUNTIF($B$9:$B$45,$B31)</f>
        <v/>
      </c>
      <c r="V31" s="19">
        <f>COUNTIFS($B$9:$B$45,$B31,$T$9:$T$45,"&gt;"&amp;$T31)+1</f>
        <v/>
      </c>
      <c r="W31" s="19">
        <f>INDEX($T$50:$T$51,MATCH($B31,$A$50:$A$51,0))</f>
        <v/>
      </c>
      <c r="X31" s="19">
        <f>INDEX($U$50:$U$51,MATCH($B31,$A$50:$A$51,0))</f>
        <v/>
      </c>
      <c r="Y31" s="19">
        <f>INDEX($V$50:$V$51,MATCH($B31,$A$50:$A$51,0))</f>
        <v/>
      </c>
      <c r="Z31" s="19">
        <f>INDEX($W$50:$W$51,MATCH($B31,$A$50:$A$51,0))</f>
        <v/>
      </c>
      <c r="AA31" s="11">
        <f>IF($V31&lt;=$W31,"S",IF($V31&lt;=$W31+$X31,"A",IF($V31&lt;=$W31+$X31+$Y31,"B","C")))</f>
        <v/>
      </c>
      <c r="AB31" s="19">
        <f>IF($AA31="S",$W31,IF($AA31="A",$X31,IF($AA31="B",$Y31,$Z31)))</f>
        <v/>
      </c>
      <c r="AC31" s="19">
        <f>$V31-IF($AA31="S",0,IF($AA31="A",$W31,IF($AA31="B",$W31+$X31,$W31+$X31+$Y31)))</f>
        <v/>
      </c>
      <c r="AD31" s="27">
        <f>ROUND(IF($AA31="S",100,IF($AA31="A",90,IF($AA31="B",80,70)))-(10/$AB31)*($AC31-1),3)</f>
        <v/>
      </c>
    </row>
    <row r="32">
      <c r="A32" s="19" t="inlineStr">
        <is>
          <t>직원24</t>
        </is>
      </c>
      <c r="B32" s="19" t="inlineStr">
        <is>
          <t>5급</t>
        </is>
      </c>
      <c r="C32" s="16" t="inlineStr">
        <is>
          <t>N</t>
        </is>
      </c>
      <c r="D32" s="19">
        <f>INDEX('평가군 계산'!$G$6:$G$79,MATCH($A32&amp;"|1차",'평가군 계산'!$T$6:$T$79,0))</f>
        <v/>
      </c>
      <c r="E32" s="24">
        <f>INDEX('평가군 계산'!$O$6:$O$79,MATCH($A32&amp;"|1차",'평가군 계산'!$T$6:$T$79,0))</f>
        <v/>
      </c>
      <c r="F32" s="24">
        <f>IFERROR(IF(INDEX('평가군 계산'!$L$6:$L$79,MATCH($A32&amp;"|2차",'평가군 계산'!$T$6:$T$79,0))="",80,INDEX('평가군 계산'!$L$6:$L$79,MATCH($A32&amp;"|2차",'평가군 계산'!$T$6:$T$79,0))),80)</f>
        <v/>
      </c>
      <c r="G32" s="19">
        <f>IF($D32&lt;6,"제5호 — 2차 100% + 1차 조정","-")</f>
        <v/>
      </c>
      <c r="H32" s="27">
        <f>IF($D32&lt;6,0,IF($C32="Y",0.5,0.6))</f>
        <v/>
      </c>
      <c r="I32" s="27">
        <f>IF($D32&lt;6,1,IF($C32="Y",0.5,0.4))</f>
        <v/>
      </c>
      <c r="J32" s="24">
        <f>ROUND(IF($D32&lt;6,$I32*$F32+($E32-$F32),$H32*$E32+$I32*$F32),3)</f>
        <v/>
      </c>
      <c r="K32" s="28" t="n">
        <v>81.2</v>
      </c>
      <c r="L32" s="16" t="n">
        <v>10</v>
      </c>
      <c r="M32" s="19">
        <f>COUNTIFS($L$9:$L$45,"&gt;=3")</f>
        <v/>
      </c>
      <c r="N32" s="19">
        <f>IF($L32&lt;3,"",COUNTIFS($L$9:$L$45,"&gt;=3",$K$9:$K$45,"&lt;"&amp;$K32)+1)</f>
        <v/>
      </c>
      <c r="O32" s="23">
        <f>IF($L32&lt;3,"",INDEX('s(n) 표'!$AQ$5:$AQ$43,MATCH($M32,'s(n) 표'!$A$5:$A$43,0)))</f>
        <v/>
      </c>
      <c r="P32" s="24">
        <f>IF($L32&lt;3,80,ROUND(MEDIAN(60,80+7*NORM.S.INV(($N32-0.375)/($M32+0.25))/$O32,100),3))</f>
        <v/>
      </c>
      <c r="Q32" s="16" t="n">
        <v>93</v>
      </c>
      <c r="R32" s="27">
        <f>IF($C32="Y",0.85,$B$4)+IF($L32&lt;3,IF($C32="Y",0.1,$B$5),0)</f>
        <v/>
      </c>
      <c r="S32" s="27">
        <f>IF($L32&lt;3,0,IF($C32="Y",0.1,$B$5))</f>
        <v/>
      </c>
      <c r="T32" s="24">
        <f>ROUND($R32*$J32+$S32*$P32+$B$6*$Q32,3)</f>
        <v/>
      </c>
      <c r="U32" s="19">
        <f>COUNTIF($B$9:$B$45,$B32)</f>
        <v/>
      </c>
      <c r="V32" s="19">
        <f>COUNTIFS($B$9:$B$45,$B32,$T$9:$T$45,"&gt;"&amp;$T32)+1</f>
        <v/>
      </c>
      <c r="W32" s="19">
        <f>INDEX($T$50:$T$51,MATCH($B32,$A$50:$A$51,0))</f>
        <v/>
      </c>
      <c r="X32" s="19">
        <f>INDEX($U$50:$U$51,MATCH($B32,$A$50:$A$51,0))</f>
        <v/>
      </c>
      <c r="Y32" s="19">
        <f>INDEX($V$50:$V$51,MATCH($B32,$A$50:$A$51,0))</f>
        <v/>
      </c>
      <c r="Z32" s="19">
        <f>INDEX($W$50:$W$51,MATCH($B32,$A$50:$A$51,0))</f>
        <v/>
      </c>
      <c r="AA32" s="11">
        <f>IF($V32&lt;=$W32,"S",IF($V32&lt;=$W32+$X32,"A",IF($V32&lt;=$W32+$X32+$Y32,"B","C")))</f>
        <v/>
      </c>
      <c r="AB32" s="19">
        <f>IF($AA32="S",$W32,IF($AA32="A",$X32,IF($AA32="B",$Y32,$Z32)))</f>
        <v/>
      </c>
      <c r="AC32" s="19">
        <f>$V32-IF($AA32="S",0,IF($AA32="A",$W32,IF($AA32="B",$W32+$X32,$W32+$X32+$Y32)))</f>
        <v/>
      </c>
      <c r="AD32" s="27">
        <f>ROUND(IF($AA32="S",100,IF($AA32="A",90,IF($AA32="B",80,70)))-(10/$AB32)*($AC32-1),3)</f>
        <v/>
      </c>
    </row>
    <row r="33">
      <c r="A33" s="19" t="inlineStr">
        <is>
          <t>직원25</t>
        </is>
      </c>
      <c r="B33" s="19" t="inlineStr">
        <is>
          <t>5급</t>
        </is>
      </c>
      <c r="C33" s="16" t="inlineStr">
        <is>
          <t>N</t>
        </is>
      </c>
      <c r="D33" s="19">
        <f>INDEX('평가군 계산'!$G$6:$G$79,MATCH($A33&amp;"|1차",'평가군 계산'!$T$6:$T$79,0))</f>
        <v/>
      </c>
      <c r="E33" s="24">
        <f>INDEX('평가군 계산'!$O$6:$O$79,MATCH($A33&amp;"|1차",'평가군 계산'!$T$6:$T$79,0))</f>
        <v/>
      </c>
      <c r="F33" s="24">
        <f>IFERROR(IF(INDEX('평가군 계산'!$L$6:$L$79,MATCH($A33&amp;"|2차",'평가군 계산'!$T$6:$T$79,0))="",80,INDEX('평가군 계산'!$L$6:$L$79,MATCH($A33&amp;"|2차",'평가군 계산'!$T$6:$T$79,0))),80)</f>
        <v/>
      </c>
      <c r="G33" s="19">
        <f>IF($D33&lt;6,"제5호 — 2차 100% + 1차 조정","-")</f>
        <v/>
      </c>
      <c r="H33" s="27">
        <f>IF($D33&lt;6,0,IF($C33="Y",0.5,0.6))</f>
        <v/>
      </c>
      <c r="I33" s="27">
        <f>IF($D33&lt;6,1,IF($C33="Y",0.5,0.4))</f>
        <v/>
      </c>
      <c r="J33" s="24">
        <f>ROUND(IF($D33&lt;6,$I33*$F33+($E33-$F33),$H33*$E33+$I33*$F33),3)</f>
        <v/>
      </c>
      <c r="K33" s="28" t="n">
        <v>90.3</v>
      </c>
      <c r="L33" s="16" t="n">
        <v>6</v>
      </c>
      <c r="M33" s="19">
        <f>COUNTIFS($L$9:$L$45,"&gt;=3")</f>
        <v/>
      </c>
      <c r="N33" s="19">
        <f>IF($L33&lt;3,"",COUNTIFS($L$9:$L$45,"&gt;=3",$K$9:$K$45,"&lt;"&amp;$K33)+1)</f>
        <v/>
      </c>
      <c r="O33" s="23">
        <f>IF($L33&lt;3,"",INDEX('s(n) 표'!$AQ$5:$AQ$43,MATCH($M33,'s(n) 표'!$A$5:$A$43,0)))</f>
        <v/>
      </c>
      <c r="P33" s="24">
        <f>IF($L33&lt;3,80,ROUND(MEDIAN(60,80+7*NORM.S.INV(($N33-0.375)/($M33+0.25))/$O33,100),3))</f>
        <v/>
      </c>
      <c r="Q33" s="16" t="n">
        <v>100</v>
      </c>
      <c r="R33" s="27">
        <f>IF($C33="Y",0.85,$B$4)+IF($L33&lt;3,IF($C33="Y",0.1,$B$5),0)</f>
        <v/>
      </c>
      <c r="S33" s="27">
        <f>IF($L33&lt;3,0,IF($C33="Y",0.1,$B$5))</f>
        <v/>
      </c>
      <c r="T33" s="24">
        <f>ROUND($R33*$J33+$S33*$P33+$B$6*$Q33,3)</f>
        <v/>
      </c>
      <c r="U33" s="19">
        <f>COUNTIF($B$9:$B$45,$B33)</f>
        <v/>
      </c>
      <c r="V33" s="19">
        <f>COUNTIFS($B$9:$B$45,$B33,$T$9:$T$45,"&gt;"&amp;$T33)+1</f>
        <v/>
      </c>
      <c r="W33" s="19">
        <f>INDEX($T$50:$T$51,MATCH($B33,$A$50:$A$51,0))</f>
        <v/>
      </c>
      <c r="X33" s="19">
        <f>INDEX($U$50:$U$51,MATCH($B33,$A$50:$A$51,0))</f>
        <v/>
      </c>
      <c r="Y33" s="19">
        <f>INDEX($V$50:$V$51,MATCH($B33,$A$50:$A$51,0))</f>
        <v/>
      </c>
      <c r="Z33" s="19">
        <f>INDEX($W$50:$W$51,MATCH($B33,$A$50:$A$51,0))</f>
        <v/>
      </c>
      <c r="AA33" s="11">
        <f>IF($V33&lt;=$W33,"S",IF($V33&lt;=$W33+$X33,"A",IF($V33&lt;=$W33+$X33+$Y33,"B","C")))</f>
        <v/>
      </c>
      <c r="AB33" s="19">
        <f>IF($AA33="S",$W33,IF($AA33="A",$X33,IF($AA33="B",$Y33,$Z33)))</f>
        <v/>
      </c>
      <c r="AC33" s="19">
        <f>$V33-IF($AA33="S",0,IF($AA33="A",$W33,IF($AA33="B",$W33+$X33,$W33+$X33+$Y33)))</f>
        <v/>
      </c>
      <c r="AD33" s="27">
        <f>ROUND(IF($AA33="S",100,IF($AA33="A",90,IF($AA33="B",80,70)))-(10/$AB33)*($AC33-1),3)</f>
        <v/>
      </c>
    </row>
    <row r="34">
      <c r="A34" s="19" t="inlineStr">
        <is>
          <t>직원26</t>
        </is>
      </c>
      <c r="B34" s="19" t="inlineStr">
        <is>
          <t>5급</t>
        </is>
      </c>
      <c r="C34" s="16" t="inlineStr">
        <is>
          <t>N</t>
        </is>
      </c>
      <c r="D34" s="19">
        <f>INDEX('평가군 계산'!$G$6:$G$79,MATCH($A34&amp;"|1차",'평가군 계산'!$T$6:$T$79,0))</f>
        <v/>
      </c>
      <c r="E34" s="24">
        <f>INDEX('평가군 계산'!$O$6:$O$79,MATCH($A34&amp;"|1차",'평가군 계산'!$T$6:$T$79,0))</f>
        <v/>
      </c>
      <c r="F34" s="24">
        <f>IFERROR(IF(INDEX('평가군 계산'!$L$6:$L$79,MATCH($A34&amp;"|2차",'평가군 계산'!$T$6:$T$79,0))="",80,INDEX('평가군 계산'!$L$6:$L$79,MATCH($A34&amp;"|2차",'평가군 계산'!$T$6:$T$79,0))),80)</f>
        <v/>
      </c>
      <c r="G34" s="19">
        <f>IF($D34&lt;6,"제5호 — 2차 100% + 1차 조정","-")</f>
        <v/>
      </c>
      <c r="H34" s="27">
        <f>IF($D34&lt;6,0,IF($C34="Y",0.5,0.6))</f>
        <v/>
      </c>
      <c r="I34" s="27">
        <f>IF($D34&lt;6,1,IF($C34="Y",0.5,0.4))</f>
        <v/>
      </c>
      <c r="J34" s="24">
        <f>ROUND(IF($D34&lt;6,$I34*$F34+($E34-$F34),$H34*$E34+$I34*$F34),3)</f>
        <v/>
      </c>
      <c r="K34" s="28" t="n">
        <v>73.5</v>
      </c>
      <c r="L34" s="16" t="n">
        <v>7</v>
      </c>
      <c r="M34" s="19">
        <f>COUNTIFS($L$9:$L$45,"&gt;=3")</f>
        <v/>
      </c>
      <c r="N34" s="19">
        <f>IF($L34&lt;3,"",COUNTIFS($L$9:$L$45,"&gt;=3",$K$9:$K$45,"&lt;"&amp;$K34)+1)</f>
        <v/>
      </c>
      <c r="O34" s="23">
        <f>IF($L34&lt;3,"",INDEX('s(n) 표'!$AQ$5:$AQ$43,MATCH($M34,'s(n) 표'!$A$5:$A$43,0)))</f>
        <v/>
      </c>
      <c r="P34" s="24">
        <f>IF($L34&lt;3,80,ROUND(MEDIAN(60,80+7*NORM.S.INV(($N34-0.375)/($M34+0.25))/$O34,100),3))</f>
        <v/>
      </c>
      <c r="Q34" s="16" t="n">
        <v>96</v>
      </c>
      <c r="R34" s="27">
        <f>IF($C34="Y",0.85,$B$4)+IF($L34&lt;3,IF($C34="Y",0.1,$B$5),0)</f>
        <v/>
      </c>
      <c r="S34" s="27">
        <f>IF($L34&lt;3,0,IF($C34="Y",0.1,$B$5))</f>
        <v/>
      </c>
      <c r="T34" s="24">
        <f>ROUND($R34*$J34+$S34*$P34+$B$6*$Q34,3)</f>
        <v/>
      </c>
      <c r="U34" s="19">
        <f>COUNTIF($B$9:$B$45,$B34)</f>
        <v/>
      </c>
      <c r="V34" s="19">
        <f>COUNTIFS($B$9:$B$45,$B34,$T$9:$T$45,"&gt;"&amp;$T34)+1</f>
        <v/>
      </c>
      <c r="W34" s="19">
        <f>INDEX($T$50:$T$51,MATCH($B34,$A$50:$A$51,0))</f>
        <v/>
      </c>
      <c r="X34" s="19">
        <f>INDEX($U$50:$U$51,MATCH($B34,$A$50:$A$51,0))</f>
        <v/>
      </c>
      <c r="Y34" s="19">
        <f>INDEX($V$50:$V$51,MATCH($B34,$A$50:$A$51,0))</f>
        <v/>
      </c>
      <c r="Z34" s="19">
        <f>INDEX($W$50:$W$51,MATCH($B34,$A$50:$A$51,0))</f>
        <v/>
      </c>
      <c r="AA34" s="11">
        <f>IF($V34&lt;=$W34,"S",IF($V34&lt;=$W34+$X34,"A",IF($V34&lt;=$W34+$X34+$Y34,"B","C")))</f>
        <v/>
      </c>
      <c r="AB34" s="19">
        <f>IF($AA34="S",$W34,IF($AA34="A",$X34,IF($AA34="B",$Y34,$Z34)))</f>
        <v/>
      </c>
      <c r="AC34" s="19">
        <f>$V34-IF($AA34="S",0,IF($AA34="A",$W34,IF($AA34="B",$W34+$X34,$W34+$X34+$Y34)))</f>
        <v/>
      </c>
      <c r="AD34" s="27">
        <f>ROUND(IF($AA34="S",100,IF($AA34="A",90,IF($AA34="B",80,70)))-(10/$AB34)*($AC34-1),3)</f>
        <v/>
      </c>
    </row>
    <row r="35">
      <c r="A35" s="19" t="inlineStr">
        <is>
          <t>직원27</t>
        </is>
      </c>
      <c r="B35" s="19" t="inlineStr">
        <is>
          <t>5급</t>
        </is>
      </c>
      <c r="C35" s="16" t="inlineStr">
        <is>
          <t>N</t>
        </is>
      </c>
      <c r="D35" s="19">
        <f>INDEX('평가군 계산'!$G$6:$G$79,MATCH($A35&amp;"|1차",'평가군 계산'!$T$6:$T$79,0))</f>
        <v/>
      </c>
      <c r="E35" s="24">
        <f>INDEX('평가군 계산'!$O$6:$O$79,MATCH($A35&amp;"|1차",'평가군 계산'!$T$6:$T$79,0))</f>
        <v/>
      </c>
      <c r="F35" s="24">
        <f>IFERROR(IF(INDEX('평가군 계산'!$L$6:$L$79,MATCH($A35&amp;"|2차",'평가군 계산'!$T$6:$T$79,0))="",80,INDEX('평가군 계산'!$L$6:$L$79,MATCH($A35&amp;"|2차",'평가군 계산'!$T$6:$T$79,0))),80)</f>
        <v/>
      </c>
      <c r="G35" s="19">
        <f>IF($D35&lt;6,"제5호 — 2차 100% + 1차 조정","-")</f>
        <v/>
      </c>
      <c r="H35" s="27">
        <f>IF($D35&lt;6,0,IF($C35="Y",0.5,0.6))</f>
        <v/>
      </c>
      <c r="I35" s="27">
        <f>IF($D35&lt;6,1,IF($C35="Y",0.5,0.4))</f>
        <v/>
      </c>
      <c r="J35" s="24">
        <f>ROUND(IF($D35&lt;6,$I35*$F35+($E35-$F35),$H35*$E35+$I35*$F35),3)</f>
        <v/>
      </c>
      <c r="K35" s="28" t="n">
        <v>82.59999999999999</v>
      </c>
      <c r="L35" s="16" t="n">
        <v>8</v>
      </c>
      <c r="M35" s="19">
        <f>COUNTIFS($L$9:$L$45,"&gt;=3")</f>
        <v/>
      </c>
      <c r="N35" s="19">
        <f>IF($L35&lt;3,"",COUNTIFS($L$9:$L$45,"&gt;=3",$K$9:$K$45,"&lt;"&amp;$K35)+1)</f>
        <v/>
      </c>
      <c r="O35" s="23">
        <f>IF($L35&lt;3,"",INDEX('s(n) 표'!$AQ$5:$AQ$43,MATCH($M35,'s(n) 표'!$A$5:$A$43,0)))</f>
        <v/>
      </c>
      <c r="P35" s="24">
        <f>IF($L35&lt;3,80,ROUND(MEDIAN(60,80+7*NORM.S.INV(($N35-0.375)/($M35+0.25))/$O35,100),3))</f>
        <v/>
      </c>
      <c r="Q35" s="16" t="n">
        <v>92</v>
      </c>
      <c r="R35" s="27">
        <f>IF($C35="Y",0.85,$B$4)+IF($L35&lt;3,IF($C35="Y",0.1,$B$5),0)</f>
        <v/>
      </c>
      <c r="S35" s="27">
        <f>IF($L35&lt;3,0,IF($C35="Y",0.1,$B$5))</f>
        <v/>
      </c>
      <c r="T35" s="24">
        <f>ROUND($R35*$J35+$S35*$P35+$B$6*$Q35,3)</f>
        <v/>
      </c>
      <c r="U35" s="19">
        <f>COUNTIF($B$9:$B$45,$B35)</f>
        <v/>
      </c>
      <c r="V35" s="19">
        <f>COUNTIFS($B$9:$B$45,$B35,$T$9:$T$45,"&gt;"&amp;$T35)+1</f>
        <v/>
      </c>
      <c r="W35" s="19">
        <f>INDEX($T$50:$T$51,MATCH($B35,$A$50:$A$51,0))</f>
        <v/>
      </c>
      <c r="X35" s="19">
        <f>INDEX($U$50:$U$51,MATCH($B35,$A$50:$A$51,0))</f>
        <v/>
      </c>
      <c r="Y35" s="19">
        <f>INDEX($V$50:$V$51,MATCH($B35,$A$50:$A$51,0))</f>
        <v/>
      </c>
      <c r="Z35" s="19">
        <f>INDEX($W$50:$W$51,MATCH($B35,$A$50:$A$51,0))</f>
        <v/>
      </c>
      <c r="AA35" s="11">
        <f>IF($V35&lt;=$W35,"S",IF($V35&lt;=$W35+$X35,"A",IF($V35&lt;=$W35+$X35+$Y35,"B","C")))</f>
        <v/>
      </c>
      <c r="AB35" s="19">
        <f>IF($AA35="S",$W35,IF($AA35="A",$X35,IF($AA35="B",$Y35,$Z35)))</f>
        <v/>
      </c>
      <c r="AC35" s="19">
        <f>$V35-IF($AA35="S",0,IF($AA35="A",$W35,IF($AA35="B",$W35+$X35,$W35+$X35+$Y35)))</f>
        <v/>
      </c>
      <c r="AD35" s="27">
        <f>ROUND(IF($AA35="S",100,IF($AA35="A",90,IF($AA35="B",80,70)))-(10/$AB35)*($AC35-1),3)</f>
        <v/>
      </c>
    </row>
    <row r="36">
      <c r="A36" s="19" t="inlineStr">
        <is>
          <t>직원28</t>
        </is>
      </c>
      <c r="B36" s="19" t="inlineStr">
        <is>
          <t>5급</t>
        </is>
      </c>
      <c r="C36" s="16" t="inlineStr">
        <is>
          <t>N</t>
        </is>
      </c>
      <c r="D36" s="19">
        <f>INDEX('평가군 계산'!$G$6:$G$79,MATCH($A36&amp;"|1차",'평가군 계산'!$T$6:$T$79,0))</f>
        <v/>
      </c>
      <c r="E36" s="24">
        <f>INDEX('평가군 계산'!$O$6:$O$79,MATCH($A36&amp;"|1차",'평가군 계산'!$T$6:$T$79,0))</f>
        <v/>
      </c>
      <c r="F36" s="24">
        <f>IFERROR(IF(INDEX('평가군 계산'!$L$6:$L$79,MATCH($A36&amp;"|2차",'평가군 계산'!$T$6:$T$79,0))="",80,INDEX('평가군 계산'!$L$6:$L$79,MATCH($A36&amp;"|2차",'평가군 계산'!$T$6:$T$79,0))),80)</f>
        <v/>
      </c>
      <c r="G36" s="19">
        <f>IF($D36&lt;6,"제5호 — 2차 100% + 1차 조정","-")</f>
        <v/>
      </c>
      <c r="H36" s="27">
        <f>IF($D36&lt;6,0,IF($C36="Y",0.5,0.6))</f>
        <v/>
      </c>
      <c r="I36" s="27">
        <f>IF($D36&lt;6,1,IF($C36="Y",0.5,0.4))</f>
        <v/>
      </c>
      <c r="J36" s="24">
        <f>ROUND(IF($D36&lt;6,$I36*$F36+($E36-$F36),$H36*$E36+$I36*$F36),3)</f>
        <v/>
      </c>
      <c r="K36" s="28" t="n">
        <v>91.7</v>
      </c>
      <c r="L36" s="16" t="n">
        <v>9</v>
      </c>
      <c r="M36" s="19">
        <f>COUNTIFS($L$9:$L$45,"&gt;=3")</f>
        <v/>
      </c>
      <c r="N36" s="19">
        <f>IF($L36&lt;3,"",COUNTIFS($L$9:$L$45,"&gt;=3",$K$9:$K$45,"&lt;"&amp;$K36)+1)</f>
        <v/>
      </c>
      <c r="O36" s="23">
        <f>IF($L36&lt;3,"",INDEX('s(n) 표'!$AQ$5:$AQ$43,MATCH($M36,'s(n) 표'!$A$5:$A$43,0)))</f>
        <v/>
      </c>
      <c r="P36" s="24">
        <f>IF($L36&lt;3,80,ROUND(MEDIAN(60,80+7*NORM.S.INV(($N36-0.375)/($M36+0.25))/$O36,100),3))</f>
        <v/>
      </c>
      <c r="Q36" s="16" t="n">
        <v>99</v>
      </c>
      <c r="R36" s="27">
        <f>IF($C36="Y",0.85,$B$4)+IF($L36&lt;3,IF($C36="Y",0.1,$B$5),0)</f>
        <v/>
      </c>
      <c r="S36" s="27">
        <f>IF($L36&lt;3,0,IF($C36="Y",0.1,$B$5))</f>
        <v/>
      </c>
      <c r="T36" s="24">
        <f>ROUND($R36*$J36+$S36*$P36+$B$6*$Q36,3)</f>
        <v/>
      </c>
      <c r="U36" s="19">
        <f>COUNTIF($B$9:$B$45,$B36)</f>
        <v/>
      </c>
      <c r="V36" s="19">
        <f>COUNTIFS($B$9:$B$45,$B36,$T$9:$T$45,"&gt;"&amp;$T36)+1</f>
        <v/>
      </c>
      <c r="W36" s="19">
        <f>INDEX($T$50:$T$51,MATCH($B36,$A$50:$A$51,0))</f>
        <v/>
      </c>
      <c r="X36" s="19">
        <f>INDEX($U$50:$U$51,MATCH($B36,$A$50:$A$51,0))</f>
        <v/>
      </c>
      <c r="Y36" s="19">
        <f>INDEX($V$50:$V$51,MATCH($B36,$A$50:$A$51,0))</f>
        <v/>
      </c>
      <c r="Z36" s="19">
        <f>INDEX($W$50:$W$51,MATCH($B36,$A$50:$A$51,0))</f>
        <v/>
      </c>
      <c r="AA36" s="11">
        <f>IF($V36&lt;=$W36,"S",IF($V36&lt;=$W36+$X36,"A",IF($V36&lt;=$W36+$X36+$Y36,"B","C")))</f>
        <v/>
      </c>
      <c r="AB36" s="19">
        <f>IF($AA36="S",$W36,IF($AA36="A",$X36,IF($AA36="B",$Y36,$Z36)))</f>
        <v/>
      </c>
      <c r="AC36" s="19">
        <f>$V36-IF($AA36="S",0,IF($AA36="A",$W36,IF($AA36="B",$W36+$X36,$W36+$X36+$Y36)))</f>
        <v/>
      </c>
      <c r="AD36" s="27">
        <f>ROUND(IF($AA36="S",100,IF($AA36="A",90,IF($AA36="B",80,70)))-(10/$AB36)*($AC36-1),3)</f>
        <v/>
      </c>
    </row>
    <row r="37">
      <c r="A37" s="19" t="inlineStr">
        <is>
          <t>직원29</t>
        </is>
      </c>
      <c r="B37" s="19" t="inlineStr">
        <is>
          <t>5급</t>
        </is>
      </c>
      <c r="C37" s="16" t="inlineStr">
        <is>
          <t>N</t>
        </is>
      </c>
      <c r="D37" s="19">
        <f>INDEX('평가군 계산'!$G$6:$G$79,MATCH($A37&amp;"|1차",'평가군 계산'!$T$6:$T$79,0))</f>
        <v/>
      </c>
      <c r="E37" s="24">
        <f>INDEX('평가군 계산'!$O$6:$O$79,MATCH($A37&amp;"|1차",'평가군 계산'!$T$6:$T$79,0))</f>
        <v/>
      </c>
      <c r="F37" s="24">
        <f>IFERROR(IF(INDEX('평가군 계산'!$L$6:$L$79,MATCH($A37&amp;"|2차",'평가군 계산'!$T$6:$T$79,0))="",80,INDEX('평가군 계산'!$L$6:$L$79,MATCH($A37&amp;"|2차",'평가군 계산'!$T$6:$T$79,0))),80)</f>
        <v/>
      </c>
      <c r="G37" s="19">
        <f>IF($D37&lt;6,"제5호 — 2차 100% + 1차 조정","-")</f>
        <v/>
      </c>
      <c r="H37" s="27">
        <f>IF($D37&lt;6,0,IF($C37="Y",0.5,0.6))</f>
        <v/>
      </c>
      <c r="I37" s="27">
        <f>IF($D37&lt;6,1,IF($C37="Y",0.5,0.4))</f>
        <v/>
      </c>
      <c r="J37" s="24">
        <f>ROUND(IF($D37&lt;6,$I37*$F37+($E37-$F37),$H37*$E37+$I37*$F37),3)</f>
        <v/>
      </c>
      <c r="K37" s="28" t="n">
        <v>74.90000000000001</v>
      </c>
      <c r="L37" s="16" t="n">
        <v>10</v>
      </c>
      <c r="M37" s="19">
        <f>COUNTIFS($L$9:$L$45,"&gt;=3")</f>
        <v/>
      </c>
      <c r="N37" s="19">
        <f>IF($L37&lt;3,"",COUNTIFS($L$9:$L$45,"&gt;=3",$K$9:$K$45,"&lt;"&amp;$K37)+1)</f>
        <v/>
      </c>
      <c r="O37" s="23">
        <f>IF($L37&lt;3,"",INDEX('s(n) 표'!$AQ$5:$AQ$43,MATCH($M37,'s(n) 표'!$A$5:$A$43,0)))</f>
        <v/>
      </c>
      <c r="P37" s="24">
        <f>IF($L37&lt;3,80,ROUND(MEDIAN(60,80+7*NORM.S.INV(($N37-0.375)/($M37+0.25))/$O37,100),3))</f>
        <v/>
      </c>
      <c r="Q37" s="16" t="n">
        <v>95</v>
      </c>
      <c r="R37" s="27">
        <f>IF($C37="Y",0.85,$B$4)+IF($L37&lt;3,IF($C37="Y",0.1,$B$5),0)</f>
        <v/>
      </c>
      <c r="S37" s="27">
        <f>IF($L37&lt;3,0,IF($C37="Y",0.1,$B$5))</f>
        <v/>
      </c>
      <c r="T37" s="24">
        <f>ROUND($R37*$J37+$S37*$P37+$B$6*$Q37,3)</f>
        <v/>
      </c>
      <c r="U37" s="19">
        <f>COUNTIF($B$9:$B$45,$B37)</f>
        <v/>
      </c>
      <c r="V37" s="19">
        <f>COUNTIFS($B$9:$B$45,$B37,$T$9:$T$45,"&gt;"&amp;$T37)+1</f>
        <v/>
      </c>
      <c r="W37" s="19">
        <f>INDEX($T$50:$T$51,MATCH($B37,$A$50:$A$51,0))</f>
        <v/>
      </c>
      <c r="X37" s="19">
        <f>INDEX($U$50:$U$51,MATCH($B37,$A$50:$A$51,0))</f>
        <v/>
      </c>
      <c r="Y37" s="19">
        <f>INDEX($V$50:$V$51,MATCH($B37,$A$50:$A$51,0))</f>
        <v/>
      </c>
      <c r="Z37" s="19">
        <f>INDEX($W$50:$W$51,MATCH($B37,$A$50:$A$51,0))</f>
        <v/>
      </c>
      <c r="AA37" s="11">
        <f>IF($V37&lt;=$W37,"S",IF($V37&lt;=$W37+$X37,"A",IF($V37&lt;=$W37+$X37+$Y37,"B","C")))</f>
        <v/>
      </c>
      <c r="AB37" s="19">
        <f>IF($AA37="S",$W37,IF($AA37="A",$X37,IF($AA37="B",$Y37,$Z37)))</f>
        <v/>
      </c>
      <c r="AC37" s="19">
        <f>$V37-IF($AA37="S",0,IF($AA37="A",$W37,IF($AA37="B",$W37+$X37,$W37+$X37+$Y37)))</f>
        <v/>
      </c>
      <c r="AD37" s="27">
        <f>ROUND(IF($AA37="S",100,IF($AA37="A",90,IF($AA37="B",80,70)))-(10/$AB37)*($AC37-1),3)</f>
        <v/>
      </c>
    </row>
    <row r="38">
      <c r="A38" s="19" t="inlineStr">
        <is>
          <t>직원30</t>
        </is>
      </c>
      <c r="B38" s="19" t="inlineStr">
        <is>
          <t>5급</t>
        </is>
      </c>
      <c r="C38" s="16" t="inlineStr">
        <is>
          <t>N</t>
        </is>
      </c>
      <c r="D38" s="19">
        <f>INDEX('평가군 계산'!$G$6:$G$79,MATCH($A38&amp;"|1차",'평가군 계산'!$T$6:$T$79,0))</f>
        <v/>
      </c>
      <c r="E38" s="24">
        <f>INDEX('평가군 계산'!$O$6:$O$79,MATCH($A38&amp;"|1차",'평가군 계산'!$T$6:$T$79,0))</f>
        <v/>
      </c>
      <c r="F38" s="24">
        <f>IFERROR(IF(INDEX('평가군 계산'!$L$6:$L$79,MATCH($A38&amp;"|2차",'평가군 계산'!$T$6:$T$79,0))="",80,INDEX('평가군 계산'!$L$6:$L$79,MATCH($A38&amp;"|2차",'평가군 계산'!$T$6:$T$79,0))),80)</f>
        <v/>
      </c>
      <c r="G38" s="19">
        <f>IF($D38&lt;6,"제5호 — 2차 100% + 1차 조정","-")</f>
        <v/>
      </c>
      <c r="H38" s="27">
        <f>IF($D38&lt;6,0,IF($C38="Y",0.5,0.6))</f>
        <v/>
      </c>
      <c r="I38" s="27">
        <f>IF($D38&lt;6,1,IF($C38="Y",0.5,0.4))</f>
        <v/>
      </c>
      <c r="J38" s="24">
        <f>ROUND(IF($D38&lt;6,$I38*$F38+($E38-$F38),$H38*$E38+$I38*$F38),3)</f>
        <v/>
      </c>
      <c r="K38" s="28" t="n">
        <v>84</v>
      </c>
      <c r="L38" s="16" t="n">
        <v>6</v>
      </c>
      <c r="M38" s="19">
        <f>COUNTIFS($L$9:$L$45,"&gt;=3")</f>
        <v/>
      </c>
      <c r="N38" s="19">
        <f>IF($L38&lt;3,"",COUNTIFS($L$9:$L$45,"&gt;=3",$K$9:$K$45,"&lt;"&amp;$K38)+1)</f>
        <v/>
      </c>
      <c r="O38" s="23">
        <f>IF($L38&lt;3,"",INDEX('s(n) 표'!$AQ$5:$AQ$43,MATCH($M38,'s(n) 표'!$A$5:$A$43,0)))</f>
        <v/>
      </c>
      <c r="P38" s="24">
        <f>IF($L38&lt;3,80,ROUND(MEDIAN(60,80+7*NORM.S.INV(($N38-0.375)/($M38+0.25))/$O38,100),3))</f>
        <v/>
      </c>
      <c r="Q38" s="16" t="n">
        <v>91</v>
      </c>
      <c r="R38" s="27">
        <f>IF($C38="Y",0.85,$B$4)+IF($L38&lt;3,IF($C38="Y",0.1,$B$5),0)</f>
        <v/>
      </c>
      <c r="S38" s="27">
        <f>IF($L38&lt;3,0,IF($C38="Y",0.1,$B$5))</f>
        <v/>
      </c>
      <c r="T38" s="24">
        <f>ROUND($R38*$J38+$S38*$P38+$B$6*$Q38,3)</f>
        <v/>
      </c>
      <c r="U38" s="19">
        <f>COUNTIF($B$9:$B$45,$B38)</f>
        <v/>
      </c>
      <c r="V38" s="19">
        <f>COUNTIFS($B$9:$B$45,$B38,$T$9:$T$45,"&gt;"&amp;$T38)+1</f>
        <v/>
      </c>
      <c r="W38" s="19">
        <f>INDEX($T$50:$T$51,MATCH($B38,$A$50:$A$51,0))</f>
        <v/>
      </c>
      <c r="X38" s="19">
        <f>INDEX($U$50:$U$51,MATCH($B38,$A$50:$A$51,0))</f>
        <v/>
      </c>
      <c r="Y38" s="19">
        <f>INDEX($V$50:$V$51,MATCH($B38,$A$50:$A$51,0))</f>
        <v/>
      </c>
      <c r="Z38" s="19">
        <f>INDEX($W$50:$W$51,MATCH($B38,$A$50:$A$51,0))</f>
        <v/>
      </c>
      <c r="AA38" s="11">
        <f>IF($V38&lt;=$W38,"S",IF($V38&lt;=$W38+$X38,"A",IF($V38&lt;=$W38+$X38+$Y38,"B","C")))</f>
        <v/>
      </c>
      <c r="AB38" s="19">
        <f>IF($AA38="S",$W38,IF($AA38="A",$X38,IF($AA38="B",$Y38,$Z38)))</f>
        <v/>
      </c>
      <c r="AC38" s="19">
        <f>$V38-IF($AA38="S",0,IF($AA38="A",$W38,IF($AA38="B",$W38+$X38,$W38+$X38+$Y38)))</f>
        <v/>
      </c>
      <c r="AD38" s="27">
        <f>ROUND(IF($AA38="S",100,IF($AA38="A",90,IF($AA38="B",80,70)))-(10/$AB38)*($AC38-1),3)</f>
        <v/>
      </c>
    </row>
    <row r="39">
      <c r="A39" s="19" t="inlineStr">
        <is>
          <t>직원31</t>
        </is>
      </c>
      <c r="B39" s="19" t="inlineStr">
        <is>
          <t>4급</t>
        </is>
      </c>
      <c r="C39" s="16" t="inlineStr">
        <is>
          <t>Y</t>
        </is>
      </c>
      <c r="D39" s="19">
        <f>INDEX('평가군 계산'!$G$6:$G$79,MATCH($A39&amp;"|1차",'평가군 계산'!$T$6:$T$79,0))</f>
        <v/>
      </c>
      <c r="E39" s="24">
        <f>INDEX('평가군 계산'!$O$6:$O$79,MATCH($A39&amp;"|1차",'평가군 계산'!$T$6:$T$79,0))</f>
        <v/>
      </c>
      <c r="F39" s="24">
        <f>IFERROR(IF(INDEX('평가군 계산'!$L$6:$L$79,MATCH($A39&amp;"|2차",'평가군 계산'!$T$6:$T$79,0))="",80,INDEX('평가군 계산'!$L$6:$L$79,MATCH($A39&amp;"|2차",'평가군 계산'!$T$6:$T$79,0))),80)</f>
        <v/>
      </c>
      <c r="G39" s="19">
        <f>IF($D39&lt;6,"제5호 — 2차 100% + 1차 조정","-")</f>
        <v/>
      </c>
      <c r="H39" s="27">
        <f>IF($D39&lt;6,0,IF($C39="Y",0.5,0.6))</f>
        <v/>
      </c>
      <c r="I39" s="27">
        <f>IF($D39&lt;6,1,IF($C39="Y",0.5,0.4))</f>
        <v/>
      </c>
      <c r="J39" s="24">
        <f>ROUND(IF($D39&lt;6,$I39*$F39+($E39-$F39),$H39*$E39+$I39*$F39),3)</f>
        <v/>
      </c>
      <c r="K39" s="28" t="n">
        <v>93.09999999999999</v>
      </c>
      <c r="L39" s="16" t="n">
        <v>7</v>
      </c>
      <c r="M39" s="19">
        <f>COUNTIFS($L$9:$L$45,"&gt;=3")</f>
        <v/>
      </c>
      <c r="N39" s="19">
        <f>IF($L39&lt;3,"",COUNTIFS($L$9:$L$45,"&gt;=3",$K$9:$K$45,"&lt;"&amp;$K39)+1)</f>
        <v/>
      </c>
      <c r="O39" s="23">
        <f>IF($L39&lt;3,"",INDEX('s(n) 표'!$AQ$5:$AQ$43,MATCH($M39,'s(n) 표'!$A$5:$A$43,0)))</f>
        <v/>
      </c>
      <c r="P39" s="24">
        <f>IF($L39&lt;3,80,ROUND(MEDIAN(60,80+7*NORM.S.INV(($N39-0.375)/($M39+0.25))/$O39,100),3))</f>
        <v/>
      </c>
      <c r="Q39" s="16" t="n">
        <v>98</v>
      </c>
      <c r="R39" s="27">
        <f>IF($C39="Y",0.85,$B$4)+IF($L39&lt;3,IF($C39="Y",0.1,$B$5),0)</f>
        <v/>
      </c>
      <c r="S39" s="27">
        <f>IF($L39&lt;3,0,IF($C39="Y",0.1,$B$5))</f>
        <v/>
      </c>
      <c r="T39" s="24">
        <f>ROUND($R39*$J39+$S39*$P39+$B$6*$Q39,3)</f>
        <v/>
      </c>
      <c r="U39" s="19">
        <f>COUNTIF($B$9:$B$45,$B39)</f>
        <v/>
      </c>
      <c r="V39" s="19">
        <f>COUNTIFS($B$9:$B$45,$B39,$T$9:$T$45,"&gt;"&amp;$T39)+1</f>
        <v/>
      </c>
      <c r="W39" s="19">
        <f>INDEX($T$50:$T$51,MATCH($B39,$A$50:$A$51,0))</f>
        <v/>
      </c>
      <c r="X39" s="19">
        <f>INDEX($U$50:$U$51,MATCH($B39,$A$50:$A$51,0))</f>
        <v/>
      </c>
      <c r="Y39" s="19">
        <f>INDEX($V$50:$V$51,MATCH($B39,$A$50:$A$51,0))</f>
        <v/>
      </c>
      <c r="Z39" s="19">
        <f>INDEX($W$50:$W$51,MATCH($B39,$A$50:$A$51,0))</f>
        <v/>
      </c>
      <c r="AA39" s="11">
        <f>IF($V39&lt;=$W39,"S",IF($V39&lt;=$W39+$X39,"A",IF($V39&lt;=$W39+$X39+$Y39,"B","C")))</f>
        <v/>
      </c>
      <c r="AB39" s="19">
        <f>IF($AA39="S",$W39,IF($AA39="A",$X39,IF($AA39="B",$Y39,$Z39)))</f>
        <v/>
      </c>
      <c r="AC39" s="19">
        <f>$V39-IF($AA39="S",0,IF($AA39="A",$W39,IF($AA39="B",$W39+$X39,$W39+$X39+$Y39)))</f>
        <v/>
      </c>
      <c r="AD39" s="27">
        <f>ROUND(IF($AA39="S",100,IF($AA39="A",90,IF($AA39="B",80,70)))-(10/$AB39)*($AC39-1),3)</f>
        <v/>
      </c>
    </row>
    <row r="40">
      <c r="A40" s="19" t="inlineStr">
        <is>
          <t>직원32</t>
        </is>
      </c>
      <c r="B40" s="19" t="inlineStr">
        <is>
          <t>4급</t>
        </is>
      </c>
      <c r="C40" s="16" t="inlineStr">
        <is>
          <t>N</t>
        </is>
      </c>
      <c r="D40" s="19">
        <f>INDEX('평가군 계산'!$G$6:$G$79,MATCH($A40&amp;"|1차",'평가군 계산'!$T$6:$T$79,0))</f>
        <v/>
      </c>
      <c r="E40" s="24">
        <f>INDEX('평가군 계산'!$O$6:$O$79,MATCH($A40&amp;"|1차",'평가군 계산'!$T$6:$T$79,0))</f>
        <v/>
      </c>
      <c r="F40" s="24">
        <f>IFERROR(IF(INDEX('평가군 계산'!$L$6:$L$79,MATCH($A40&amp;"|2차",'평가군 계산'!$T$6:$T$79,0))="",80,INDEX('평가군 계산'!$L$6:$L$79,MATCH($A40&amp;"|2차",'평가군 계산'!$T$6:$T$79,0))),80)</f>
        <v/>
      </c>
      <c r="G40" s="19">
        <f>IF($D40&lt;6,"제5호 — 2차 100% + 1차 조정","-")</f>
        <v/>
      </c>
      <c r="H40" s="27">
        <f>IF($D40&lt;6,0,IF($C40="Y",0.5,0.6))</f>
        <v/>
      </c>
      <c r="I40" s="27">
        <f>IF($D40&lt;6,1,IF($C40="Y",0.5,0.4))</f>
        <v/>
      </c>
      <c r="J40" s="24">
        <f>ROUND(IF($D40&lt;6,$I40*$F40+($E40-$F40),$H40*$E40+$I40*$F40),3)</f>
        <v/>
      </c>
      <c r="K40" s="28" t="n">
        <v>76.3</v>
      </c>
      <c r="L40" s="16" t="n">
        <v>8</v>
      </c>
      <c r="M40" s="19">
        <f>COUNTIFS($L$9:$L$45,"&gt;=3")</f>
        <v/>
      </c>
      <c r="N40" s="19">
        <f>IF($L40&lt;3,"",COUNTIFS($L$9:$L$45,"&gt;=3",$K$9:$K$45,"&lt;"&amp;$K40)+1)</f>
        <v/>
      </c>
      <c r="O40" s="23">
        <f>IF($L40&lt;3,"",INDEX('s(n) 표'!$AQ$5:$AQ$43,MATCH($M40,'s(n) 표'!$A$5:$A$43,0)))</f>
        <v/>
      </c>
      <c r="P40" s="24">
        <f>IF($L40&lt;3,80,ROUND(MEDIAN(60,80+7*NORM.S.INV(($N40-0.375)/($M40+0.25))/$O40,100),3))</f>
        <v/>
      </c>
      <c r="Q40" s="16" t="n">
        <v>94</v>
      </c>
      <c r="R40" s="27">
        <f>IF($C40="Y",0.85,$B$4)+IF($L40&lt;3,IF($C40="Y",0.1,$B$5),0)</f>
        <v/>
      </c>
      <c r="S40" s="27">
        <f>IF($L40&lt;3,0,IF($C40="Y",0.1,$B$5))</f>
        <v/>
      </c>
      <c r="T40" s="24">
        <f>ROUND($R40*$J40+$S40*$P40+$B$6*$Q40,3)</f>
        <v/>
      </c>
      <c r="U40" s="19">
        <f>COUNTIF($B$9:$B$45,$B40)</f>
        <v/>
      </c>
      <c r="V40" s="19">
        <f>COUNTIFS($B$9:$B$45,$B40,$T$9:$T$45,"&gt;"&amp;$T40)+1</f>
        <v/>
      </c>
      <c r="W40" s="19">
        <f>INDEX($T$50:$T$51,MATCH($B40,$A$50:$A$51,0))</f>
        <v/>
      </c>
      <c r="X40" s="19">
        <f>INDEX($U$50:$U$51,MATCH($B40,$A$50:$A$51,0))</f>
        <v/>
      </c>
      <c r="Y40" s="19">
        <f>INDEX($V$50:$V$51,MATCH($B40,$A$50:$A$51,0))</f>
        <v/>
      </c>
      <c r="Z40" s="19">
        <f>INDEX($W$50:$W$51,MATCH($B40,$A$50:$A$51,0))</f>
        <v/>
      </c>
      <c r="AA40" s="11">
        <f>IF($V40&lt;=$W40,"S",IF($V40&lt;=$W40+$X40,"A",IF($V40&lt;=$W40+$X40+$Y40,"B","C")))</f>
        <v/>
      </c>
      <c r="AB40" s="19">
        <f>IF($AA40="S",$W40,IF($AA40="A",$X40,IF($AA40="B",$Y40,$Z40)))</f>
        <v/>
      </c>
      <c r="AC40" s="19">
        <f>$V40-IF($AA40="S",0,IF($AA40="A",$W40,IF($AA40="B",$W40+$X40,$W40+$X40+$Y40)))</f>
        <v/>
      </c>
      <c r="AD40" s="27">
        <f>ROUND(IF($AA40="S",100,IF($AA40="A",90,IF($AA40="B",80,70)))-(10/$AB40)*($AC40-1),3)</f>
        <v/>
      </c>
    </row>
    <row r="41">
      <c r="A41" s="19" t="inlineStr">
        <is>
          <t>직원33</t>
        </is>
      </c>
      <c r="B41" s="19" t="inlineStr">
        <is>
          <t>4급</t>
        </is>
      </c>
      <c r="C41" s="16" t="inlineStr">
        <is>
          <t>N</t>
        </is>
      </c>
      <c r="D41" s="19">
        <f>INDEX('평가군 계산'!$G$6:$G$79,MATCH($A41&amp;"|1차",'평가군 계산'!$T$6:$T$79,0))</f>
        <v/>
      </c>
      <c r="E41" s="24">
        <f>INDEX('평가군 계산'!$O$6:$O$79,MATCH($A41&amp;"|1차",'평가군 계산'!$T$6:$T$79,0))</f>
        <v/>
      </c>
      <c r="F41" s="24">
        <f>IFERROR(IF(INDEX('평가군 계산'!$L$6:$L$79,MATCH($A41&amp;"|2차",'평가군 계산'!$T$6:$T$79,0))="",80,INDEX('평가군 계산'!$L$6:$L$79,MATCH($A41&amp;"|2차",'평가군 계산'!$T$6:$T$79,0))),80)</f>
        <v/>
      </c>
      <c r="G41" s="19">
        <f>IF($D41&lt;6,"제5호 — 2차 100% + 1차 조정","-")</f>
        <v/>
      </c>
      <c r="H41" s="27">
        <f>IF($D41&lt;6,0,IF($C41="Y",0.5,0.6))</f>
        <v/>
      </c>
      <c r="I41" s="27">
        <f>IF($D41&lt;6,1,IF($C41="Y",0.5,0.4))</f>
        <v/>
      </c>
      <c r="J41" s="24">
        <f>ROUND(IF($D41&lt;6,$I41*$F41+($E41-$F41),$H41*$E41+$I41*$F41),3)</f>
        <v/>
      </c>
      <c r="K41" s="28" t="n">
        <v>85.40000000000001</v>
      </c>
      <c r="L41" s="16" t="n">
        <v>9</v>
      </c>
      <c r="M41" s="19">
        <f>COUNTIFS($L$9:$L$45,"&gt;=3")</f>
        <v/>
      </c>
      <c r="N41" s="19">
        <f>IF($L41&lt;3,"",COUNTIFS($L$9:$L$45,"&gt;=3",$K$9:$K$45,"&lt;"&amp;$K41)+1)</f>
        <v/>
      </c>
      <c r="O41" s="23">
        <f>IF($L41&lt;3,"",INDEX('s(n) 표'!$AQ$5:$AQ$43,MATCH($M41,'s(n) 표'!$A$5:$A$43,0)))</f>
        <v/>
      </c>
      <c r="P41" s="24">
        <f>IF($L41&lt;3,80,ROUND(MEDIAN(60,80+7*NORM.S.INV(($N41-0.375)/($M41+0.25))/$O41,100),3))</f>
        <v/>
      </c>
      <c r="Q41" s="16" t="n">
        <v>90</v>
      </c>
      <c r="R41" s="27">
        <f>IF($C41="Y",0.85,$B$4)+IF($L41&lt;3,IF($C41="Y",0.1,$B$5),0)</f>
        <v/>
      </c>
      <c r="S41" s="27">
        <f>IF($L41&lt;3,0,IF($C41="Y",0.1,$B$5))</f>
        <v/>
      </c>
      <c r="T41" s="24">
        <f>ROUND($R41*$J41+$S41*$P41+$B$6*$Q41,3)</f>
        <v/>
      </c>
      <c r="U41" s="19">
        <f>COUNTIF($B$9:$B$45,$B41)</f>
        <v/>
      </c>
      <c r="V41" s="19">
        <f>COUNTIFS($B$9:$B$45,$B41,$T$9:$T$45,"&gt;"&amp;$T41)+1</f>
        <v/>
      </c>
      <c r="W41" s="19">
        <f>INDEX($T$50:$T$51,MATCH($B41,$A$50:$A$51,0))</f>
        <v/>
      </c>
      <c r="X41" s="19">
        <f>INDEX($U$50:$U$51,MATCH($B41,$A$50:$A$51,0))</f>
        <v/>
      </c>
      <c r="Y41" s="19">
        <f>INDEX($V$50:$V$51,MATCH($B41,$A$50:$A$51,0))</f>
        <v/>
      </c>
      <c r="Z41" s="19">
        <f>INDEX($W$50:$W$51,MATCH($B41,$A$50:$A$51,0))</f>
        <v/>
      </c>
      <c r="AA41" s="11">
        <f>IF($V41&lt;=$W41,"S",IF($V41&lt;=$W41+$X41,"A",IF($V41&lt;=$W41+$X41+$Y41,"B","C")))</f>
        <v/>
      </c>
      <c r="AB41" s="19">
        <f>IF($AA41="S",$W41,IF($AA41="A",$X41,IF($AA41="B",$Y41,$Z41)))</f>
        <v/>
      </c>
      <c r="AC41" s="19">
        <f>$V41-IF($AA41="S",0,IF($AA41="A",$W41,IF($AA41="B",$W41+$X41,$W41+$X41+$Y41)))</f>
        <v/>
      </c>
      <c r="AD41" s="27">
        <f>ROUND(IF($AA41="S",100,IF($AA41="A",90,IF($AA41="B",80,70)))-(10/$AB41)*($AC41-1),3)</f>
        <v/>
      </c>
    </row>
    <row r="42">
      <c r="A42" s="19" t="inlineStr">
        <is>
          <t>직원34</t>
        </is>
      </c>
      <c r="B42" s="19" t="inlineStr">
        <is>
          <t>4급</t>
        </is>
      </c>
      <c r="C42" s="16" t="inlineStr">
        <is>
          <t>N</t>
        </is>
      </c>
      <c r="D42" s="19">
        <f>INDEX('평가군 계산'!$G$6:$G$79,MATCH($A42&amp;"|1차",'평가군 계산'!$T$6:$T$79,0))</f>
        <v/>
      </c>
      <c r="E42" s="24">
        <f>INDEX('평가군 계산'!$O$6:$O$79,MATCH($A42&amp;"|1차",'평가군 계산'!$T$6:$T$79,0))</f>
        <v/>
      </c>
      <c r="F42" s="24">
        <f>IFERROR(IF(INDEX('평가군 계산'!$L$6:$L$79,MATCH($A42&amp;"|2차",'평가군 계산'!$T$6:$T$79,0))="",80,INDEX('평가군 계산'!$L$6:$L$79,MATCH($A42&amp;"|2차",'평가군 계산'!$T$6:$T$79,0))),80)</f>
        <v/>
      </c>
      <c r="G42" s="19">
        <f>IF($D42&lt;6,"제5호 — 2차 100% + 1차 조정","-")</f>
        <v/>
      </c>
      <c r="H42" s="27">
        <f>IF($D42&lt;6,0,IF($C42="Y",0.5,0.6))</f>
        <v/>
      </c>
      <c r="I42" s="27">
        <f>IF($D42&lt;6,1,IF($C42="Y",0.5,0.4))</f>
        <v/>
      </c>
      <c r="J42" s="24">
        <f>ROUND(IF($D42&lt;6,$I42*$F42+($E42-$F42),$H42*$E42+$I42*$F42),3)</f>
        <v/>
      </c>
      <c r="K42" s="28" t="n">
        <v>94.5</v>
      </c>
      <c r="L42" s="16" t="n">
        <v>10</v>
      </c>
      <c r="M42" s="19">
        <f>COUNTIFS($L$9:$L$45,"&gt;=3")</f>
        <v/>
      </c>
      <c r="N42" s="19">
        <f>IF($L42&lt;3,"",COUNTIFS($L$9:$L$45,"&gt;=3",$K$9:$K$45,"&lt;"&amp;$K42)+1)</f>
        <v/>
      </c>
      <c r="O42" s="23">
        <f>IF($L42&lt;3,"",INDEX('s(n) 표'!$AQ$5:$AQ$43,MATCH($M42,'s(n) 표'!$A$5:$A$43,0)))</f>
        <v/>
      </c>
      <c r="P42" s="24">
        <f>IF($L42&lt;3,80,ROUND(MEDIAN(60,80+7*NORM.S.INV(($N42-0.375)/($M42+0.25))/$O42,100),3))</f>
        <v/>
      </c>
      <c r="Q42" s="16" t="n">
        <v>97</v>
      </c>
      <c r="R42" s="27">
        <f>IF($C42="Y",0.85,$B$4)+IF($L42&lt;3,IF($C42="Y",0.1,$B$5),0)</f>
        <v/>
      </c>
      <c r="S42" s="27">
        <f>IF($L42&lt;3,0,IF($C42="Y",0.1,$B$5))</f>
        <v/>
      </c>
      <c r="T42" s="24">
        <f>ROUND($R42*$J42+$S42*$P42+$B$6*$Q42,3)</f>
        <v/>
      </c>
      <c r="U42" s="19">
        <f>COUNTIF($B$9:$B$45,$B42)</f>
        <v/>
      </c>
      <c r="V42" s="19">
        <f>COUNTIFS($B$9:$B$45,$B42,$T$9:$T$45,"&gt;"&amp;$T42)+1</f>
        <v/>
      </c>
      <c r="W42" s="19">
        <f>INDEX($T$50:$T$51,MATCH($B42,$A$50:$A$51,0))</f>
        <v/>
      </c>
      <c r="X42" s="19">
        <f>INDEX($U$50:$U$51,MATCH($B42,$A$50:$A$51,0))</f>
        <v/>
      </c>
      <c r="Y42" s="19">
        <f>INDEX($V$50:$V$51,MATCH($B42,$A$50:$A$51,0))</f>
        <v/>
      </c>
      <c r="Z42" s="19">
        <f>INDEX($W$50:$W$51,MATCH($B42,$A$50:$A$51,0))</f>
        <v/>
      </c>
      <c r="AA42" s="11">
        <f>IF($V42&lt;=$W42,"S",IF($V42&lt;=$W42+$X42,"A",IF($V42&lt;=$W42+$X42+$Y42,"B","C")))</f>
        <v/>
      </c>
      <c r="AB42" s="19">
        <f>IF($AA42="S",$W42,IF($AA42="A",$X42,IF($AA42="B",$Y42,$Z42)))</f>
        <v/>
      </c>
      <c r="AC42" s="19">
        <f>$V42-IF($AA42="S",0,IF($AA42="A",$W42,IF($AA42="B",$W42+$X42,$W42+$X42+$Y42)))</f>
        <v/>
      </c>
      <c r="AD42" s="27">
        <f>ROUND(IF($AA42="S",100,IF($AA42="A",90,IF($AA42="B",80,70)))-(10/$AB42)*($AC42-1),3)</f>
        <v/>
      </c>
    </row>
    <row r="43">
      <c r="A43" s="19" t="inlineStr">
        <is>
          <t>직원35</t>
        </is>
      </c>
      <c r="B43" s="19" t="inlineStr">
        <is>
          <t>4급</t>
        </is>
      </c>
      <c r="C43" s="16" t="inlineStr">
        <is>
          <t>N</t>
        </is>
      </c>
      <c r="D43" s="19">
        <f>INDEX('평가군 계산'!$G$6:$G$79,MATCH($A43&amp;"|1차",'평가군 계산'!$T$6:$T$79,0))</f>
        <v/>
      </c>
      <c r="E43" s="24">
        <f>INDEX('평가군 계산'!$O$6:$O$79,MATCH($A43&amp;"|1차",'평가군 계산'!$T$6:$T$79,0))</f>
        <v/>
      </c>
      <c r="F43" s="24">
        <f>IFERROR(IF(INDEX('평가군 계산'!$L$6:$L$79,MATCH($A43&amp;"|2차",'평가군 계산'!$T$6:$T$79,0))="",80,INDEX('평가군 계산'!$L$6:$L$79,MATCH($A43&amp;"|2차",'평가군 계산'!$T$6:$T$79,0))),80)</f>
        <v/>
      </c>
      <c r="G43" s="19">
        <f>IF($D43&lt;6,"제5호 — 2차 100% + 1차 조정","-")</f>
        <v/>
      </c>
      <c r="H43" s="27">
        <f>IF($D43&lt;6,0,IF($C43="Y",0.5,0.6))</f>
        <v/>
      </c>
      <c r="I43" s="27">
        <f>IF($D43&lt;6,1,IF($C43="Y",0.5,0.4))</f>
        <v/>
      </c>
      <c r="J43" s="24">
        <f>ROUND(IF($D43&lt;6,$I43*$F43+($E43-$F43),$H43*$E43+$I43*$F43),3)</f>
        <v/>
      </c>
      <c r="K43" s="28" t="n">
        <v>77.7</v>
      </c>
      <c r="L43" s="16" t="n">
        <v>6</v>
      </c>
      <c r="M43" s="19">
        <f>COUNTIFS($L$9:$L$45,"&gt;=3")</f>
        <v/>
      </c>
      <c r="N43" s="19">
        <f>IF($L43&lt;3,"",COUNTIFS($L$9:$L$45,"&gt;=3",$K$9:$K$45,"&lt;"&amp;$K43)+1)</f>
        <v/>
      </c>
      <c r="O43" s="23">
        <f>IF($L43&lt;3,"",INDEX('s(n) 표'!$AQ$5:$AQ$43,MATCH($M43,'s(n) 표'!$A$5:$A$43,0)))</f>
        <v/>
      </c>
      <c r="P43" s="24">
        <f>IF($L43&lt;3,80,ROUND(MEDIAN(60,80+7*NORM.S.INV(($N43-0.375)/($M43+0.25))/$O43,100),3))</f>
        <v/>
      </c>
      <c r="Q43" s="16" t="n">
        <v>93</v>
      </c>
      <c r="R43" s="27">
        <f>IF($C43="Y",0.85,$B$4)+IF($L43&lt;3,IF($C43="Y",0.1,$B$5),0)</f>
        <v/>
      </c>
      <c r="S43" s="27">
        <f>IF($L43&lt;3,0,IF($C43="Y",0.1,$B$5))</f>
        <v/>
      </c>
      <c r="T43" s="24">
        <f>ROUND($R43*$J43+$S43*$P43+$B$6*$Q43,3)</f>
        <v/>
      </c>
      <c r="U43" s="19">
        <f>COUNTIF($B$9:$B$45,$B43)</f>
        <v/>
      </c>
      <c r="V43" s="19">
        <f>COUNTIFS($B$9:$B$45,$B43,$T$9:$T$45,"&gt;"&amp;$T43)+1</f>
        <v/>
      </c>
      <c r="W43" s="19">
        <f>INDEX($T$50:$T$51,MATCH($B43,$A$50:$A$51,0))</f>
        <v/>
      </c>
      <c r="X43" s="19">
        <f>INDEX($U$50:$U$51,MATCH($B43,$A$50:$A$51,0))</f>
        <v/>
      </c>
      <c r="Y43" s="19">
        <f>INDEX($V$50:$V$51,MATCH($B43,$A$50:$A$51,0))</f>
        <v/>
      </c>
      <c r="Z43" s="19">
        <f>INDEX($W$50:$W$51,MATCH($B43,$A$50:$A$51,0))</f>
        <v/>
      </c>
      <c r="AA43" s="11">
        <f>IF($V43&lt;=$W43,"S",IF($V43&lt;=$W43+$X43,"A",IF($V43&lt;=$W43+$X43+$Y43,"B","C")))</f>
        <v/>
      </c>
      <c r="AB43" s="19">
        <f>IF($AA43="S",$W43,IF($AA43="A",$X43,IF($AA43="B",$Y43,$Z43)))</f>
        <v/>
      </c>
      <c r="AC43" s="19">
        <f>$V43-IF($AA43="S",0,IF($AA43="A",$W43,IF($AA43="B",$W43+$X43,$W43+$X43+$Y43)))</f>
        <v/>
      </c>
      <c r="AD43" s="27">
        <f>ROUND(IF($AA43="S",100,IF($AA43="A",90,IF($AA43="B",80,70)))-(10/$AB43)*($AC43-1),3)</f>
        <v/>
      </c>
    </row>
    <row r="44">
      <c r="A44" s="19" t="inlineStr">
        <is>
          <t>직원36</t>
        </is>
      </c>
      <c r="B44" s="19" t="inlineStr">
        <is>
          <t>4급</t>
        </is>
      </c>
      <c r="C44" s="16" t="inlineStr">
        <is>
          <t>N</t>
        </is>
      </c>
      <c r="D44" s="19">
        <f>INDEX('평가군 계산'!$G$6:$G$79,MATCH($A44&amp;"|1차",'평가군 계산'!$T$6:$T$79,0))</f>
        <v/>
      </c>
      <c r="E44" s="24">
        <f>INDEX('평가군 계산'!$O$6:$O$79,MATCH($A44&amp;"|1차",'평가군 계산'!$T$6:$T$79,0))</f>
        <v/>
      </c>
      <c r="F44" s="24">
        <f>IFERROR(IF(INDEX('평가군 계산'!$L$6:$L$79,MATCH($A44&amp;"|2차",'평가군 계산'!$T$6:$T$79,0))="",80,INDEX('평가군 계산'!$L$6:$L$79,MATCH($A44&amp;"|2차",'평가군 계산'!$T$6:$T$79,0))),80)</f>
        <v/>
      </c>
      <c r="G44" s="19">
        <f>IF($D44&lt;6,"제5호 — 2차 100% + 1차 조정","-")</f>
        <v/>
      </c>
      <c r="H44" s="27">
        <f>IF($D44&lt;6,0,IF($C44="Y",0.5,0.6))</f>
        <v/>
      </c>
      <c r="I44" s="27">
        <f>IF($D44&lt;6,1,IF($C44="Y",0.5,0.4))</f>
        <v/>
      </c>
      <c r="J44" s="24">
        <f>ROUND(IF($D44&lt;6,$I44*$F44+($E44-$F44),$H44*$E44+$I44*$F44),3)</f>
        <v/>
      </c>
      <c r="K44" s="28" t="n">
        <v>86.8</v>
      </c>
      <c r="L44" s="16" t="n">
        <v>7</v>
      </c>
      <c r="M44" s="19">
        <f>COUNTIFS($L$9:$L$45,"&gt;=3")</f>
        <v/>
      </c>
      <c r="N44" s="19">
        <f>IF($L44&lt;3,"",COUNTIFS($L$9:$L$45,"&gt;=3",$K$9:$K$45,"&lt;"&amp;$K44)+1)</f>
        <v/>
      </c>
      <c r="O44" s="23">
        <f>IF($L44&lt;3,"",INDEX('s(n) 표'!$AQ$5:$AQ$43,MATCH($M44,'s(n) 표'!$A$5:$A$43,0)))</f>
        <v/>
      </c>
      <c r="P44" s="24">
        <f>IF($L44&lt;3,80,ROUND(MEDIAN(60,80+7*NORM.S.INV(($N44-0.375)/($M44+0.25))/$O44,100),3))</f>
        <v/>
      </c>
      <c r="Q44" s="16" t="n">
        <v>100</v>
      </c>
      <c r="R44" s="27">
        <f>IF($C44="Y",0.85,$B$4)+IF($L44&lt;3,IF($C44="Y",0.1,$B$5),0)</f>
        <v/>
      </c>
      <c r="S44" s="27">
        <f>IF($L44&lt;3,0,IF($C44="Y",0.1,$B$5))</f>
        <v/>
      </c>
      <c r="T44" s="24">
        <f>ROUND($R44*$J44+$S44*$P44+$B$6*$Q44,3)</f>
        <v/>
      </c>
      <c r="U44" s="19">
        <f>COUNTIF($B$9:$B$45,$B44)</f>
        <v/>
      </c>
      <c r="V44" s="19">
        <f>COUNTIFS($B$9:$B$45,$B44,$T$9:$T$45,"&gt;"&amp;$T44)+1</f>
        <v/>
      </c>
      <c r="W44" s="19">
        <f>INDEX($T$50:$T$51,MATCH($B44,$A$50:$A$51,0))</f>
        <v/>
      </c>
      <c r="X44" s="19">
        <f>INDEX($U$50:$U$51,MATCH($B44,$A$50:$A$51,0))</f>
        <v/>
      </c>
      <c r="Y44" s="19">
        <f>INDEX($V$50:$V$51,MATCH($B44,$A$50:$A$51,0))</f>
        <v/>
      </c>
      <c r="Z44" s="19">
        <f>INDEX($W$50:$W$51,MATCH($B44,$A$50:$A$51,0))</f>
        <v/>
      </c>
      <c r="AA44" s="11">
        <f>IF($V44&lt;=$W44,"S",IF($V44&lt;=$W44+$X44,"A",IF($V44&lt;=$W44+$X44+$Y44,"B","C")))</f>
        <v/>
      </c>
      <c r="AB44" s="19">
        <f>IF($AA44="S",$W44,IF($AA44="A",$X44,IF($AA44="B",$Y44,$Z44)))</f>
        <v/>
      </c>
      <c r="AC44" s="19">
        <f>$V44-IF($AA44="S",0,IF($AA44="A",$W44,IF($AA44="B",$W44+$X44,$W44+$X44+$Y44)))</f>
        <v/>
      </c>
      <c r="AD44" s="27">
        <f>ROUND(IF($AA44="S",100,IF($AA44="A",90,IF($AA44="B",80,70)))-(10/$AB44)*($AC44-1),3)</f>
        <v/>
      </c>
    </row>
    <row r="45">
      <c r="A45" s="19" t="inlineStr">
        <is>
          <t>직원37</t>
        </is>
      </c>
      <c r="B45" s="19" t="inlineStr">
        <is>
          <t>4급</t>
        </is>
      </c>
      <c r="C45" s="16" t="inlineStr">
        <is>
          <t>N</t>
        </is>
      </c>
      <c r="D45" s="19">
        <f>INDEX('평가군 계산'!$G$6:$G$79,MATCH($A45&amp;"|1차",'평가군 계산'!$T$6:$T$79,0))</f>
        <v/>
      </c>
      <c r="E45" s="24">
        <f>INDEX('평가군 계산'!$O$6:$O$79,MATCH($A45&amp;"|1차",'평가군 계산'!$T$6:$T$79,0))</f>
        <v/>
      </c>
      <c r="F45" s="24">
        <f>IFERROR(IF(INDEX('평가군 계산'!$L$6:$L$79,MATCH($A45&amp;"|2차",'평가군 계산'!$T$6:$T$79,0))="",80,INDEX('평가군 계산'!$L$6:$L$79,MATCH($A45&amp;"|2차",'평가군 계산'!$T$6:$T$79,0))),80)</f>
        <v/>
      </c>
      <c r="G45" s="19">
        <f>IF($D45&lt;6,"제5호 — 2차 100% + 1차 조정","-")</f>
        <v/>
      </c>
      <c r="H45" s="27">
        <f>IF($D45&lt;6,0,IF($C45="Y",0.5,0.6))</f>
        <v/>
      </c>
      <c r="I45" s="27">
        <f>IF($D45&lt;6,1,IF($C45="Y",0.5,0.4))</f>
        <v/>
      </c>
      <c r="J45" s="24">
        <f>ROUND(IF($D45&lt;6,$I45*$F45+($E45-$F45),$H45*$E45+$I45*$F45),3)</f>
        <v/>
      </c>
      <c r="K45" s="28" t="inlineStr"/>
      <c r="L45" s="16" t="n">
        <v>2</v>
      </c>
      <c r="M45" s="19">
        <f>COUNTIFS($L$9:$L$45,"&gt;=3")</f>
        <v/>
      </c>
      <c r="N45" s="19">
        <f>IF($L45&lt;3,"",COUNTIFS($L$9:$L$45,"&gt;=3",$K$9:$K$45,"&lt;"&amp;$K45)+1)</f>
        <v/>
      </c>
      <c r="O45" s="23">
        <f>IF($L45&lt;3,"",INDEX('s(n) 표'!$AQ$5:$AQ$43,MATCH($M45,'s(n) 표'!$A$5:$A$43,0)))</f>
        <v/>
      </c>
      <c r="P45" s="24">
        <f>IF($L45&lt;3,80,ROUND(MEDIAN(60,80+7*NORM.S.INV(($N45-0.375)/($M45+0.25))/$O45,100),3))</f>
        <v/>
      </c>
      <c r="Q45" s="16" t="n">
        <v>96</v>
      </c>
      <c r="R45" s="27">
        <f>IF($C45="Y",0.85,$B$4)+IF($L45&lt;3,IF($C45="Y",0.1,$B$5),0)</f>
        <v/>
      </c>
      <c r="S45" s="27">
        <f>IF($L45&lt;3,0,IF($C45="Y",0.1,$B$5))</f>
        <v/>
      </c>
      <c r="T45" s="24">
        <f>ROUND($R45*$J45+$S45*$P45+$B$6*$Q45,3)</f>
        <v/>
      </c>
      <c r="U45" s="19">
        <f>COUNTIF($B$9:$B$45,$B45)</f>
        <v/>
      </c>
      <c r="V45" s="19">
        <f>COUNTIFS($B$9:$B$45,$B45,$T$9:$T$45,"&gt;"&amp;$T45)+1</f>
        <v/>
      </c>
      <c r="W45" s="19">
        <f>INDEX($T$50:$T$51,MATCH($B45,$A$50:$A$51,0))</f>
        <v/>
      </c>
      <c r="X45" s="19">
        <f>INDEX($U$50:$U$51,MATCH($B45,$A$50:$A$51,0))</f>
        <v/>
      </c>
      <c r="Y45" s="19">
        <f>INDEX($V$50:$V$51,MATCH($B45,$A$50:$A$51,0))</f>
        <v/>
      </c>
      <c r="Z45" s="19">
        <f>INDEX($W$50:$W$51,MATCH($B45,$A$50:$A$51,0))</f>
        <v/>
      </c>
      <c r="AA45" s="11">
        <f>IF($V45&lt;=$W45,"S",IF($V45&lt;=$W45+$X45,"A",IF($V45&lt;=$W45+$X45+$Y45,"B","C")))</f>
        <v/>
      </c>
      <c r="AB45" s="19">
        <f>IF($AA45="S",$W45,IF($AA45="A",$X45,IF($AA45="B",$Y45,$Z45)))</f>
        <v/>
      </c>
      <c r="AC45" s="19">
        <f>$V45-IF($AA45="S",0,IF($AA45="A",$W45,IF($AA45="B",$W45+$X45,$W45+$X45+$Y45)))</f>
        <v/>
      </c>
      <c r="AD45" s="27">
        <f>ROUND(IF($AA45="S",100,IF($AA45="A",90,IF($AA45="B",80,70)))-(10/$AB45)*($AC45-1),3)</f>
        <v/>
      </c>
    </row>
    <row r="48">
      <c r="A48" s="2" t="inlineStr">
        <is>
          <t>직급별 등급 정원 — 최대잔여법 (규칙 제26조①③ · 〈09 수치의 근거〉 §2-3)</t>
        </is>
      </c>
    </row>
    <row r="49" ht="30" customHeight="1">
      <c r="A49" s="10" t="inlineStr">
        <is>
          <t>직급</t>
        </is>
      </c>
      <c r="B49" s="10" t="inlineStr">
        <is>
          <t>인원 m</t>
        </is>
      </c>
      <c r="C49" s="10" t="inlineStr">
        <is>
          <t>S 몫
m×0.20</t>
        </is>
      </c>
      <c r="D49" s="10" t="inlineStr">
        <is>
          <t>A 몫
m×0.30</t>
        </is>
      </c>
      <c r="E49" s="10" t="inlineStr">
        <is>
          <t>B 몫
m×0.40</t>
        </is>
      </c>
      <c r="F49" s="10" t="inlineStr">
        <is>
          <t>C 몫
m×0.10</t>
        </is>
      </c>
      <c r="G49" s="10" t="inlineStr">
        <is>
          <t>S 정수부</t>
        </is>
      </c>
      <c r="H49" s="10" t="inlineStr">
        <is>
          <t>A 정수부</t>
        </is>
      </c>
      <c r="I49" s="10" t="inlineStr">
        <is>
          <t>B 정수부</t>
        </is>
      </c>
      <c r="J49" s="10" t="inlineStr">
        <is>
          <t>C 정수부</t>
        </is>
      </c>
      <c r="K49" s="10" t="inlineStr">
        <is>
          <t>남은 자리</t>
        </is>
      </c>
      <c r="L49" s="10" t="inlineStr">
        <is>
          <t>S 소수부</t>
        </is>
      </c>
      <c r="M49" s="10" t="inlineStr">
        <is>
          <t>A 소수부</t>
        </is>
      </c>
      <c r="N49" s="10" t="inlineStr">
        <is>
          <t>B 소수부</t>
        </is>
      </c>
      <c r="O49" s="10" t="inlineStr">
        <is>
          <t>C 소수부</t>
        </is>
      </c>
      <c r="P49" s="10" t="inlineStr">
        <is>
          <t>S 소수부순위</t>
        </is>
      </c>
      <c r="Q49" s="10" t="inlineStr">
        <is>
          <t>A 소수부순위</t>
        </is>
      </c>
      <c r="R49" s="10" t="inlineStr">
        <is>
          <t>B 소수부순위</t>
        </is>
      </c>
      <c r="S49" s="10" t="inlineStr">
        <is>
          <t>C 소수부순위</t>
        </is>
      </c>
      <c r="T49" s="10" t="inlineStr">
        <is>
          <t>S 정원</t>
        </is>
      </c>
      <c r="U49" s="10" t="inlineStr">
        <is>
          <t>A 정원</t>
        </is>
      </c>
      <c r="V49" s="10" t="inlineStr">
        <is>
          <t>B 정원</t>
        </is>
      </c>
      <c r="W49" s="10" t="inlineStr">
        <is>
          <t>C 정원</t>
        </is>
      </c>
      <c r="X49" s="10" t="inlineStr">
        <is>
          <t>정원 합계 검증</t>
        </is>
      </c>
    </row>
    <row r="50">
      <c r="A50" s="19" t="inlineStr">
        <is>
          <t>5급</t>
        </is>
      </c>
      <c r="B50" s="19">
        <f>COUNTIF($B$9:$B$45,$A50)</f>
        <v/>
      </c>
      <c r="C50" s="27">
        <f>$B50*0.2</f>
        <v/>
      </c>
      <c r="D50" s="27">
        <f>$B50*0.3</f>
        <v/>
      </c>
      <c r="E50" s="27">
        <f>$B50*0.4</f>
        <v/>
      </c>
      <c r="F50" s="27">
        <f>$B50*0.1</f>
        <v/>
      </c>
      <c r="G50" s="19">
        <f>INT($C50)</f>
        <v/>
      </c>
      <c r="H50" s="19">
        <f>INT($D50)</f>
        <v/>
      </c>
      <c r="I50" s="19">
        <f>INT($E50)</f>
        <v/>
      </c>
      <c r="J50" s="19">
        <f>INT($F50)</f>
        <v/>
      </c>
      <c r="K50" s="19">
        <f>$B50-SUM($G50:$J50)</f>
        <v/>
      </c>
      <c r="L50" s="27">
        <f>$C50-$G50</f>
        <v/>
      </c>
      <c r="M50" s="27">
        <f>$D50-$H50</f>
        <v/>
      </c>
      <c r="N50" s="27">
        <f>$E50-$I50</f>
        <v/>
      </c>
      <c r="O50" s="27">
        <f>$F50-$J50</f>
        <v/>
      </c>
      <c r="P50" s="19">
        <f>RANK.EQ($L50,$L50:$O50,0)</f>
        <v/>
      </c>
      <c r="Q50" s="19">
        <f>RANK.EQ($M50,$L50:$O50,0)</f>
        <v/>
      </c>
      <c r="R50" s="19">
        <f>RANK.EQ($N50,$L50:$O50,0)</f>
        <v/>
      </c>
      <c r="S50" s="19">
        <f>RANK.EQ($O50,$L50:$O50,0)</f>
        <v/>
      </c>
      <c r="T50" s="11">
        <f>$G50+IF($P50&lt;=$K50,1,0)</f>
        <v/>
      </c>
      <c r="U50" s="11">
        <f>$H50+IF($Q50&lt;=$K50,1,0)</f>
        <v/>
      </c>
      <c r="V50" s="11">
        <f>$I50+IF($R50&lt;=$K50,1,0)</f>
        <v/>
      </c>
      <c r="W50" s="11">
        <f>$J50+IF($S50&lt;=$K50,1,0)</f>
        <v/>
      </c>
      <c r="X50" s="19">
        <f>IF(SUM($T50:$W50)=$B50,"PASS","FAIL")</f>
        <v/>
      </c>
    </row>
    <row r="51">
      <c r="A51" s="19" t="inlineStr">
        <is>
          <t>4급</t>
        </is>
      </c>
      <c r="B51" s="19">
        <f>COUNTIF($B$9:$B$45,$A51)</f>
        <v/>
      </c>
      <c r="C51" s="27">
        <f>$B51*0.2</f>
        <v/>
      </c>
      <c r="D51" s="27">
        <f>$B51*0.3</f>
        <v/>
      </c>
      <c r="E51" s="27">
        <f>$B51*0.4</f>
        <v/>
      </c>
      <c r="F51" s="27">
        <f>$B51*0.1</f>
        <v/>
      </c>
      <c r="G51" s="19">
        <f>INT($C51)</f>
        <v/>
      </c>
      <c r="H51" s="19">
        <f>INT($D51)</f>
        <v/>
      </c>
      <c r="I51" s="19">
        <f>INT($E51)</f>
        <v/>
      </c>
      <c r="J51" s="19">
        <f>INT($F51)</f>
        <v/>
      </c>
      <c r="K51" s="19">
        <f>$B51-SUM($G51:$J51)</f>
        <v/>
      </c>
      <c r="L51" s="27">
        <f>$C51-$G51</f>
        <v/>
      </c>
      <c r="M51" s="27">
        <f>$D51-$H51</f>
        <v/>
      </c>
      <c r="N51" s="27">
        <f>$E51-$I51</f>
        <v/>
      </c>
      <c r="O51" s="27">
        <f>$F51-$J51</f>
        <v/>
      </c>
      <c r="P51" s="19">
        <f>RANK.EQ($L51,$L51:$O51,0)</f>
        <v/>
      </c>
      <c r="Q51" s="19">
        <f>RANK.EQ($M51,$L51:$O51,0)</f>
        <v/>
      </c>
      <c r="R51" s="19">
        <f>RANK.EQ($N51,$L51:$O51,0)</f>
        <v/>
      </c>
      <c r="S51" s="19">
        <f>RANK.EQ($O51,$L51:$O51,0)</f>
        <v/>
      </c>
      <c r="T51" s="11">
        <f>$G51+IF($P51&lt;=$K51,1,0)</f>
        <v/>
      </c>
      <c r="U51" s="11">
        <f>$H51+IF($Q51&lt;=$K51,1,0)</f>
        <v/>
      </c>
      <c r="V51" s="11">
        <f>$I51+IF($R51&lt;=$K51,1,0)</f>
        <v/>
      </c>
      <c r="W51" s="11">
        <f>$J51+IF($S51&lt;=$K51,1,0)</f>
        <v/>
      </c>
      <c r="X51" s="19">
        <f>IF(SUM($T51:$W51)=$B51,"PASS","FAIL")</f>
        <v/>
      </c>
    </row>
    <row r="53">
      <c r="A53" s="15" t="inlineStr">
        <is>
          <t>① 인원×비율의 정수부를 먼저 배정한다  ② 남은 자리는 소수부가 큰 등급 순으로 하나씩 배정한다. 4급 7명의 결과 S1·A2·B3·C1은 개정안 [별표 10]의 7명 행과 일치한다.</t>
        </is>
      </c>
    </row>
  </sheetData>
  <conditionalFormatting sqref="X50:X51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18" customWidth="1" min="4" max="4"/>
    <col width="14" customWidth="1" min="5" max="5"/>
    <col width="20" customWidth="1" min="6" max="6"/>
    <col width="20" customWidth="1" min="7" max="7"/>
    <col width="14" customWidth="1" min="8" max="8"/>
    <col width="22" customWidth="1" min="9" max="9"/>
    <col width="16" customWidth="1" min="10" max="10"/>
    <col width="12" customWidth="1" min="11" max="11"/>
  </cols>
  <sheetData>
    <row r="1">
      <c r="A1" s="14" t="inlineStr">
        <is>
          <t>⑤ 검증 — 개정안 [별표 9]의 산식이 제4호가 정한 값을 실제로 달성하는가</t>
        </is>
      </c>
    </row>
    <row r="2">
      <c r="A2" s="21" t="inlineStr">
        <is>
          <t>고지 — 이 파일의 모든 인명·점수는 산식 검증을 위한 모의 예시 데이터이며, 창업진흥원의 실제 근무평정 결과가 아니다.</t>
        </is>
      </c>
    </row>
    <row r="3">
      <c r="A3" s="15" t="inlineStr">
        <is>
          <t>모든 판정은 수식이다. ② 평가군 계산의 원점수를 바꾸면 이 시트가 즉시 다시 판정한다.</t>
        </is>
      </c>
    </row>
    <row r="5">
      <c r="A5" s="2" t="inlineStr">
        <is>
          <t>1. 평가군별 보정점수 — 평균 80.00 · 표준편차 7.00 (제3호·제4호) / 제7호 조정 합계 0.00</t>
        </is>
      </c>
    </row>
    <row r="6" ht="34" customHeight="1">
      <c r="A6" s="10" t="inlineStr">
        <is>
          <t>평가군</t>
        </is>
      </c>
      <c r="B6" s="10" t="inlineStr">
        <is>
          <t>구분</t>
        </is>
      </c>
      <c r="C6" s="10" t="inlineStr">
        <is>
          <t>인원 n</t>
        </is>
      </c>
      <c r="D6" s="10" t="inlineStr">
        <is>
          <t>보정점수 평균</t>
        </is>
      </c>
      <c r="E6" s="10" t="inlineStr">
        <is>
          <t>판정
(=80.00)</t>
        </is>
      </c>
      <c r="F6" s="10" t="inlineStr">
        <is>
          <t>보정점수 표준편차
STDEVP</t>
        </is>
      </c>
      <c r="G6" s="10" t="inlineStr">
        <is>
          <t>제3호가 정하는
기대 표준편차</t>
        </is>
      </c>
      <c r="H6" s="10" t="inlineStr">
        <is>
          <t>판정</t>
        </is>
      </c>
      <c r="I6" s="10" t="inlineStr">
        <is>
          <t>÷s(n) 없을 때
표준편차 = 7×s(n)</t>
        </is>
      </c>
      <c r="J6" s="10" t="inlineStr">
        <is>
          <t>제7호 조정 합계</t>
        </is>
      </c>
      <c r="K6" s="10" t="inlineStr">
        <is>
          <t>판정
(=0.00)</t>
        </is>
      </c>
    </row>
    <row r="7">
      <c r="A7" s="19" t="inlineStr">
        <is>
          <t>평가군 1</t>
        </is>
      </c>
      <c r="B7" s="19" t="inlineStr">
        <is>
          <t>1차</t>
        </is>
      </c>
      <c r="C7" s="19" t="n">
        <v>10</v>
      </c>
      <c r="D7" s="27">
        <f>ROUND(AVERAGE('평가군 계산'!$L$6:$L$15),2)</f>
        <v/>
      </c>
      <c r="E7" s="19">
        <f>IF($D7=80,"PASS","FAIL")</f>
        <v/>
      </c>
      <c r="F7" s="27">
        <f>ROUND(STDEVP('평가군 계산'!$L$6:$L$15),2)</f>
        <v/>
      </c>
      <c r="G7" s="27" t="n">
        <v>7</v>
      </c>
      <c r="H7" s="19">
        <f>IF($F7=$G7,"PASS","FAIL")</f>
        <v/>
      </c>
      <c r="I7" s="27">
        <f>ROUND(7*STDEVP('평가군 계산'!$K$6:$K$15),2)</f>
        <v/>
      </c>
      <c r="J7" s="27">
        <f>ROUND(SUM('평가군 계산'!$N$6:$N$15),2)</f>
        <v/>
      </c>
      <c r="K7" s="19">
        <f>IF($J7=0,"PASS","FAIL")</f>
        <v/>
      </c>
    </row>
    <row r="8">
      <c r="A8" s="19" t="inlineStr">
        <is>
          <t>평가군 2</t>
        </is>
      </c>
      <c r="B8" s="19" t="inlineStr">
        <is>
          <t>1차</t>
        </is>
      </c>
      <c r="C8" s="19" t="n">
        <v>4</v>
      </c>
      <c r="D8" s="29" t="inlineStr">
        <is>
          <t>제5호 미실시</t>
        </is>
      </c>
      <c r="E8" s="29" t="inlineStr">
        <is>
          <t>해당 없음</t>
        </is>
      </c>
      <c r="F8" s="29" t="inlineStr">
        <is>
          <t>제5호 미실시</t>
        </is>
      </c>
      <c r="G8" s="29" t="inlineStr">
        <is>
          <t>제5호 미실시</t>
        </is>
      </c>
      <c r="H8" s="29" t="inlineStr">
        <is>
          <t>해당 없음</t>
        </is>
      </c>
      <c r="I8" s="29" t="inlineStr">
        <is>
          <t>제5호 미실시</t>
        </is>
      </c>
      <c r="J8" s="27">
        <f>ROUND(SUM('평가군 계산'!$N$16:$N$19),2)</f>
        <v/>
      </c>
      <c r="K8" s="19">
        <f>IF($J8=0,"PASS","FAIL")</f>
        <v/>
      </c>
    </row>
    <row r="9">
      <c r="A9" s="19" t="inlineStr">
        <is>
          <t>평가군 3</t>
        </is>
      </c>
      <c r="B9" s="19" t="inlineStr">
        <is>
          <t>1차</t>
        </is>
      </c>
      <c r="C9" s="19" t="n">
        <v>16</v>
      </c>
      <c r="D9" s="27">
        <f>ROUND(AVERAGE('평가군 계산'!$L$20:$L$35),2)</f>
        <v/>
      </c>
      <c r="E9" s="19">
        <f>IF($D9=80,"PASS","FAIL")</f>
        <v/>
      </c>
      <c r="F9" s="27">
        <f>ROUND(STDEVP('평가군 계산'!$L$20:$L$35),2)</f>
        <v/>
      </c>
      <c r="G9" s="27" t="n">
        <v>7</v>
      </c>
      <c r="H9" s="19">
        <f>IF($F9=$G9,"PASS","FAIL")</f>
        <v/>
      </c>
      <c r="I9" s="27">
        <f>ROUND(7*STDEVP('평가군 계산'!$K$20:$K$35),2)</f>
        <v/>
      </c>
      <c r="J9" s="27">
        <f>ROUND(SUM('평가군 계산'!$N$20:$N$35),2)</f>
        <v/>
      </c>
      <c r="K9" s="19">
        <f>IF($J9=0,"PASS","FAIL")</f>
        <v/>
      </c>
    </row>
    <row r="10">
      <c r="A10" s="19" t="inlineStr">
        <is>
          <t>평가군 4</t>
        </is>
      </c>
      <c r="B10" s="19" t="inlineStr">
        <is>
          <t>2차</t>
        </is>
      </c>
      <c r="C10" s="19" t="n">
        <v>30</v>
      </c>
      <c r="D10" s="27">
        <f>ROUND(AVERAGE('평가군 계산'!$L$36:$L$65),2)</f>
        <v/>
      </c>
      <c r="E10" s="19">
        <f>IF($D10=80,"PASS","FAIL")</f>
        <v/>
      </c>
      <c r="F10" s="27">
        <f>ROUND(STDEVP('평가군 계산'!$L$36:$L$65),2)</f>
        <v/>
      </c>
      <c r="G10" s="27" t="n">
        <v>7</v>
      </c>
      <c r="H10" s="19">
        <f>IF($F10=$G10,"PASS","FAIL")</f>
        <v/>
      </c>
      <c r="I10" s="27">
        <f>ROUND(7*STDEVP('평가군 계산'!$K$36:$K$65),2)</f>
        <v/>
      </c>
      <c r="J10" s="27">
        <f>ROUND(SUM('평가군 계산'!$N$36:$N$65),2)</f>
        <v/>
      </c>
      <c r="K10" s="19">
        <f>IF($J10=0,"PASS","FAIL")</f>
        <v/>
      </c>
    </row>
    <row r="11">
      <c r="A11" s="19" t="inlineStr">
        <is>
          <t>평가군 5</t>
        </is>
      </c>
      <c r="B11" s="19" t="inlineStr">
        <is>
          <t>1차</t>
        </is>
      </c>
      <c r="C11" s="19" t="n">
        <v>7</v>
      </c>
      <c r="D11" s="27">
        <f>ROUND(AVERAGE('평가군 계산'!$L$66:$L$72),2)</f>
        <v/>
      </c>
      <c r="E11" s="19">
        <f>IF($D11=80,"PASS","FAIL")</f>
        <v/>
      </c>
      <c r="F11" s="27">
        <f>ROUND(STDEVP('평가군 계산'!$L$66:$L$72),2)</f>
        <v/>
      </c>
      <c r="G11" s="27" t="n">
        <v>7</v>
      </c>
      <c r="H11" s="19">
        <f>IF($F11=$G11,"PASS","FAIL")</f>
        <v/>
      </c>
      <c r="I11" s="27">
        <f>ROUND(7*STDEVP('평가군 계산'!$K$66:$K$72),2)</f>
        <v/>
      </c>
      <c r="J11" s="27">
        <f>ROUND(SUM('평가군 계산'!$N$66:$N$72),2)</f>
        <v/>
      </c>
      <c r="K11" s="19">
        <f>IF($J11=0,"PASS","FAIL")</f>
        <v/>
      </c>
    </row>
    <row r="12">
      <c r="A12" s="19" t="inlineStr">
        <is>
          <t>평가군 6</t>
        </is>
      </c>
      <c r="B12" s="19" t="inlineStr">
        <is>
          <t>2차</t>
        </is>
      </c>
      <c r="C12" s="19" t="n">
        <v>7</v>
      </c>
      <c r="D12" s="27">
        <f>ROUND(AVERAGE('평가군 계산'!$L$73:$L$79),2)</f>
        <v/>
      </c>
      <c r="E12" s="19">
        <f>IF($D12=80,"PASS","FAIL")</f>
        <v/>
      </c>
      <c r="F12" s="27">
        <f>ROUND(STDEVP('평가군 계산'!$L$73:$L$79),2)</f>
        <v/>
      </c>
      <c r="G12" s="27" t="n">
        <v>7</v>
      </c>
      <c r="H12" s="19">
        <f>IF($F12=$G12,"PASS","FAIL")</f>
        <v/>
      </c>
      <c r="I12" s="27">
        <f>ROUND(7*STDEVP('평가군 계산'!$K$73:$K$79),2)</f>
        <v/>
      </c>
      <c r="J12" s="27">
        <f>ROUND(SUM('평가군 계산'!$N$73:$N$79),2)</f>
        <v/>
      </c>
      <c r="K12" s="19">
        <f>IF($J12=0,"PASS","FAIL")</f>
        <v/>
      </c>
    </row>
    <row r="13">
      <c r="A13" s="15" t="inlineStr">
        <is>
          <t>★ I열이 제4호의 목표 7.00에 미달한다는 것이 ÷s(n) 을 두는 이유다. F열(실제)과 G열(제3호가 정하는 값)이 일치하면 구현이 규정대로 된 것이다.</t>
        </is>
      </c>
    </row>
    <row r="15">
      <c r="A15" s="2" t="inlineStr">
        <is>
          <t>1-2. ÷ s(n) 이 왜 필요한가 — 1차와 2차의 척도를 맞춘다</t>
        </is>
      </c>
    </row>
    <row r="16" ht="44" customHeight="1">
      <c r="A16" s="4" t="inlineStr">
        <is>
          <t>[별표 9] 제3호는 인원과 무관하게 z를 s(n)으로 나눈다. 그 결과 1차 평가군(부서 3~16명)과 2차 평가군(본부 33~59명)이 모두 표준편차 7.00이 된다. 나눗셈이 없으면 인원이 적을수록 표준편차가 작아져 1차와 2차의 척도가 어긋나고, [별표 2]의 60:40 가중이 의도한 비중대로 작동하지 않는다. 아래 값은 모두 ④ 시트에서 계산된 것이다.</t>
        </is>
      </c>
    </row>
    <row r="17" ht="34" customHeight="1">
      <c r="A17" s="10" t="inlineStr">
        <is>
          <t>평가군 인원 n</t>
        </is>
      </c>
      <c r="B17" s="10" t="inlineStr">
        <is>
          <t>s(n) (④ 시트)</t>
        </is>
      </c>
      <c r="C17" s="10" t="inlineStr">
        <is>
          <t>÷ s(n) 없을 때 표준편차</t>
        </is>
      </c>
      <c r="D17" s="10" t="inlineStr">
        <is>
          <t>목표 7.00과의 차</t>
        </is>
      </c>
      <c r="E17" s="10" t="inlineStr">
        <is>
          <t>÷ s(n) 적용</t>
        </is>
      </c>
      <c r="F17" s="10" t="inlineStr">
        <is>
          <t>판정</t>
        </is>
      </c>
    </row>
    <row r="18">
      <c r="A18" s="19" t="n">
        <v>3</v>
      </c>
      <c r="B18" s="23">
        <f>INDEX('s(n) 표'!$AP$5:$AP$43,MATCH($A18,'s(n) 표'!$A$5:$A$43,0))</f>
        <v/>
      </c>
      <c r="C18" s="27">
        <f>ROUND(7*$B18,2)</f>
        <v/>
      </c>
      <c r="D18" s="30">
        <f>ROUND($C18-7,2)</f>
        <v/>
      </c>
      <c r="E18" s="27">
        <f>ROUND(7*$B18/$B18,2)</f>
        <v/>
      </c>
      <c r="F18" s="19">
        <f>IF($E18=7,"PASS","FAIL")</f>
        <v/>
      </c>
    </row>
    <row r="19">
      <c r="A19" s="19" t="n">
        <v>10</v>
      </c>
      <c r="B19" s="23">
        <f>INDEX('s(n) 표'!$AP$5:$AP$43,MATCH($A19,'s(n) 표'!$A$5:$A$43,0))</f>
        <v/>
      </c>
      <c r="C19" s="27">
        <f>ROUND(7*$B19,2)</f>
        <v/>
      </c>
      <c r="D19" s="30">
        <f>ROUND($C19-7,2)</f>
        <v/>
      </c>
      <c r="E19" s="27">
        <f>ROUND(7*$B19/$B19,2)</f>
        <v/>
      </c>
      <c r="F19" s="19">
        <f>IF($E19=7,"PASS","FAIL")</f>
        <v/>
      </c>
    </row>
    <row r="20">
      <c r="A20" s="19" t="n">
        <v>16</v>
      </c>
      <c r="B20" s="23">
        <f>INDEX('s(n) 표'!$AP$5:$AP$43,MATCH($A20,'s(n) 표'!$A$5:$A$43,0))</f>
        <v/>
      </c>
      <c r="C20" s="27">
        <f>ROUND(7*$B20,2)</f>
        <v/>
      </c>
      <c r="D20" s="30">
        <f>ROUND($C20-7,2)</f>
        <v/>
      </c>
      <c r="E20" s="27">
        <f>ROUND(7*$B20/$B20,2)</f>
        <v/>
      </c>
      <c r="F20" s="19">
        <f>IF($E20=7,"PASS","FAIL")</f>
        <v/>
      </c>
    </row>
    <row r="21">
      <c r="A21" s="19" t="n">
        <v>20</v>
      </c>
      <c r="B21" s="23">
        <f>INDEX('s(n) 표'!$AP$5:$AP$43,MATCH($A21,'s(n) 표'!$A$5:$A$43,0))</f>
        <v/>
      </c>
      <c r="C21" s="27">
        <f>ROUND(7*$B21,2)</f>
        <v/>
      </c>
      <c r="D21" s="30">
        <f>ROUND($C21-7,2)</f>
        <v/>
      </c>
      <c r="E21" s="27">
        <f>ROUND(7*$B21/$B21,2)</f>
        <v/>
      </c>
      <c r="F21" s="19">
        <f>IF($E21=7,"PASS","FAIL")</f>
        <v/>
      </c>
    </row>
    <row r="22">
      <c r="A22" s="19" t="n">
        <v>30</v>
      </c>
      <c r="B22" s="23">
        <f>INDEX('s(n) 표'!$AP$5:$AP$43,MATCH($A22,'s(n) 표'!$A$5:$A$43,0))</f>
        <v/>
      </c>
      <c r="C22" s="27">
        <f>ROUND(7*$B22,2)</f>
        <v/>
      </c>
      <c r="D22" s="30">
        <f>ROUND($C22-7,2)</f>
        <v/>
      </c>
      <c r="E22" s="27">
        <f>ROUND(7*$B22/$B22,2)</f>
        <v/>
      </c>
      <c r="F22" s="19">
        <f>IF($E22=7,"PASS","FAIL")</f>
        <v/>
      </c>
    </row>
    <row r="23">
      <c r="A23" s="19" t="n">
        <v>40</v>
      </c>
      <c r="B23" s="23">
        <f>INDEX('s(n) 표'!$AP$5:$AP$43,MATCH($A23,'s(n) 표'!$A$5:$A$43,0))</f>
        <v/>
      </c>
      <c r="C23" s="27">
        <f>ROUND(7*$B23,2)</f>
        <v/>
      </c>
      <c r="D23" s="30">
        <f>ROUND($C23-7,2)</f>
        <v/>
      </c>
      <c r="E23" s="27">
        <f>ROUND(7*$B23/$B23,2)</f>
        <v/>
      </c>
      <c r="F23" s="19">
        <f>IF($E23=7,"PASS","FAIL")</f>
        <v/>
      </c>
    </row>
    <row r="24" ht="58" customHeight="1">
      <c r="A24" s="31" t="inlineStr">
        <is>
          <t>C열이 ÷ s(n) 없이 계산한 표준편차이며 인원이 적을수록 7.00에 미달한다(3명 4.97 · 10명 6.24 · 16명 6.49 · 본부 규모 6.70~6.83). E열이 [별표 9] 제3호를 적용한 값이며 전 구간에서 7.00이다. 엑셀에서는 =STDEVP(z값 범위) 한 줄로 산출되므로 표에 없는 인원도 같은 방법으로 계산한다.</t>
        </is>
      </c>
    </row>
    <row r="26">
      <c r="A26" s="2" t="inlineStr">
        <is>
          <t>2. ÷s(n) 의 효과 — 나눗셈이 없으면 어느 평가군도 제4호의 표준편차 7점을 달성하지 못한다</t>
        </is>
      </c>
    </row>
    <row r="27" ht="34" customHeight="1">
      <c r="A27" s="10" t="inlineStr">
        <is>
          <t>평가군 인원 n</t>
        </is>
      </c>
      <c r="B27" s="10" t="inlineStr">
        <is>
          <t>s(n)  (④ 시트 참조)</t>
        </is>
      </c>
      <c r="C27" s="10" t="inlineStr">
        <is>
          <t>÷s(n) 없을 때 표준편차
= 7 × s(n)</t>
        </is>
      </c>
      <c r="D27" s="10" t="inlineStr">
        <is>
          <t>÷s(n) 적용 시 표준편차
= 7 × s(n) ÷ s(n)</t>
        </is>
      </c>
      <c r="E27" s="10" t="inlineStr">
        <is>
          <t>개정안 명시값</t>
        </is>
      </c>
      <c r="F27" s="10" t="inlineStr">
        <is>
          <t>판정</t>
        </is>
      </c>
    </row>
    <row r="28">
      <c r="A28" s="19" t="n">
        <v>3</v>
      </c>
      <c r="B28" s="23">
        <f>INDEX('s(n) 표'!$AP$5:$AP$43,MATCH($A28,'s(n) 표'!$A$5:$A$43,0))</f>
        <v/>
      </c>
      <c r="C28" s="27">
        <f>ROUND(7*$B28,2)</f>
        <v/>
      </c>
      <c r="D28" s="27">
        <f>ROUND(7*$B28/$B28,2)</f>
        <v/>
      </c>
      <c r="E28" s="27" t="n">
        <v>4.97</v>
      </c>
      <c r="F28" s="19">
        <f>IF(AND($C28=$E28,$D28=7),"PASS","FAIL")</f>
        <v/>
      </c>
    </row>
    <row r="29">
      <c r="A29" s="19" t="n">
        <v>5</v>
      </c>
      <c r="B29" s="23">
        <f>INDEX('s(n) 표'!$AP$5:$AP$43,MATCH($A29,'s(n) 표'!$A$5:$A$43,0))</f>
        <v/>
      </c>
      <c r="C29" s="27">
        <f>ROUND(7*$B29,2)</f>
        <v/>
      </c>
      <c r="D29" s="27">
        <f>ROUND(7*$B29/$B29,2)</f>
        <v/>
      </c>
      <c r="E29" s="27" t="n">
        <v>5.67</v>
      </c>
      <c r="F29" s="19">
        <f>IF(AND($C29=$E29,$D29=7),"PASS","FAIL")</f>
        <v/>
      </c>
    </row>
    <row r="30">
      <c r="A30" s="19" t="n">
        <v>10</v>
      </c>
      <c r="B30" s="23">
        <f>INDEX('s(n) 표'!$AP$5:$AP$43,MATCH($A30,'s(n) 표'!$A$5:$A$43,0))</f>
        <v/>
      </c>
      <c r="C30" s="27">
        <f>ROUND(7*$B30,2)</f>
        <v/>
      </c>
      <c r="D30" s="27">
        <f>ROUND(7*$B30/$B30,2)</f>
        <v/>
      </c>
      <c r="E30" s="27" t="n">
        <v>6.24</v>
      </c>
      <c r="F30" s="19">
        <f>IF(AND($C30=$E30,$D30=7),"PASS","FAIL")</f>
        <v/>
      </c>
    </row>
    <row r="31">
      <c r="A31" s="19" t="n">
        <v>16</v>
      </c>
      <c r="B31" s="23">
        <f>INDEX('s(n) 표'!$AP$5:$AP$43,MATCH($A31,'s(n) 표'!$A$5:$A$43,0))</f>
        <v/>
      </c>
      <c r="C31" s="27">
        <f>ROUND(7*$B31,2)</f>
        <v/>
      </c>
      <c r="D31" s="27">
        <f>ROUND(7*$B31/$B31,2)</f>
        <v/>
      </c>
      <c r="E31" s="27" t="n">
        <v>6.49</v>
      </c>
      <c r="F31" s="19">
        <f>IF(AND($C31=$E31,$D31=7),"PASS","FAIL")</f>
        <v/>
      </c>
    </row>
    <row r="32">
      <c r="A32" s="15" t="inlineStr">
        <is>
          <t>E열은 개정안 [별표 9] ÷s(n) 설명표의 값(4.97 / 5.67 / 6.24 / 6.49)이다. C열이 그 값을 재현한다.</t>
        </is>
      </c>
    </row>
    <row r="34">
      <c r="A34" s="2" t="inlineStr">
        <is>
          <t>3. 부서 내 순위 보존 · 절단 · 동점 · s(n) 표</t>
        </is>
      </c>
    </row>
    <row r="35">
      <c r="A35" s="10" t="inlineStr">
        <is>
          <t>검증 항목</t>
        </is>
      </c>
      <c r="B35" s="10" t="inlineStr">
        <is>
          <t>산출값</t>
        </is>
      </c>
      <c r="C35" s="10" t="inlineStr">
        <is>
          <t>요구값</t>
        </is>
      </c>
      <c r="D35" s="10" t="inlineStr">
        <is>
          <t>판정</t>
        </is>
      </c>
    </row>
    <row r="36">
      <c r="A36" s="12" t="inlineStr">
        <is>
          <t>원점수 순위 ≠ 보정 후 순위 인 건수 (순위 100% 보존)</t>
        </is>
      </c>
      <c r="B36" s="19">
        <f>COUNTIF('평가군 계산'!$S$6:$S$79,"★불일치")</f>
        <v/>
      </c>
      <c r="C36" s="19" t="n">
        <v>0</v>
      </c>
      <c r="D36" s="19">
        <f>IF($B36=$C36,"PASS","FAIL")</f>
        <v/>
      </c>
    </row>
    <row r="37">
      <c r="A37" s="12" t="inlineStr">
        <is>
          <t>동점 입력 건수 (개정 2 — 동점 금지)</t>
        </is>
      </c>
      <c r="B37" s="19">
        <f>COUNTIF('평가군 계산'!$Q$6:$Q$79,"★동점")</f>
        <v/>
      </c>
      <c r="C37" s="19" t="n">
        <v>0</v>
      </c>
      <c r="D37" s="19">
        <f>IF($B37=$C37,"PASS","FAIL")</f>
        <v/>
      </c>
    </row>
    <row r="38">
      <c r="A38" s="12" t="inlineStr">
        <is>
          <t>보정점수 절단(60점 미만) 발생 건수 — ② U열 기준</t>
        </is>
      </c>
      <c r="B38" s="19">
        <f>COUNTIF('평가군 계산'!$U$6:$U$79,"&lt;60")</f>
        <v/>
      </c>
      <c r="C38" s="19" t="n">
        <v>0</v>
      </c>
      <c r="D38" s="19">
        <f>IF($B38=$C38,"PASS","FAIL")</f>
        <v/>
      </c>
    </row>
    <row r="39">
      <c r="A39" s="12" t="inlineStr">
        <is>
          <t>보정점수 절단(100점 초과) 발생 건수 — ② U열 기준</t>
        </is>
      </c>
      <c r="B39" s="19">
        <f>COUNTIF('평가군 계산'!$U$6:$U$79,"&gt;100")</f>
        <v/>
      </c>
      <c r="C39" s="19" t="n">
        <v>0</v>
      </c>
      <c r="D39" s="19">
        <f>IF($B39=$C39,"PASS","FAIL")</f>
        <v/>
      </c>
    </row>
    <row r="40">
      <c r="A40" s="12" t="inlineStr">
        <is>
          <t>제7호 조정 후 절단 발생 건수 — ② V열 기준</t>
        </is>
      </c>
      <c r="B40" s="19">
        <f>COUNTIF('평가군 계산'!$V$6:$V$79,"&lt;60")+COUNTIF('평가군 계산'!$V$6:$V$79,"&gt;100")</f>
        <v/>
      </c>
      <c r="C40" s="19" t="n">
        <v>0</v>
      </c>
      <c r="D40" s="19">
        <f>IF($B40=$C40,"PASS","FAIL")</f>
        <v/>
      </c>
    </row>
    <row r="41">
      <c r="A41" s="12" t="inlineStr">
        <is>
          <t>s(n) 표(n=2~16) 참고값 불일치 건수</t>
        </is>
      </c>
      <c r="B41" s="19">
        <f>COUNTIF('s(n) 표'!$AS$5:$AS$19,"FAIL")</f>
        <v/>
      </c>
      <c r="C41" s="19" t="n">
        <v>0</v>
      </c>
      <c r="D41" s="19">
        <f>IF($B41=$C41,"PASS","FAIL")</f>
        <v/>
      </c>
    </row>
    <row r="42">
      <c r="A42" s="12" t="inlineStr">
        <is>
          <t>제7호 조정 총합계 (전 평가군)</t>
        </is>
      </c>
      <c r="B42" s="19">
        <f>ROUND(SUM('평가군 계산'!$N$6:$N$79),2)</f>
        <v/>
      </c>
      <c r="C42" s="19" t="n">
        <v>0</v>
      </c>
      <c r="D42" s="19">
        <f>IF($B42=$C42,"PASS","FAIL")</f>
        <v/>
      </c>
    </row>
    <row r="44">
      <c r="A44" s="2" t="inlineStr">
        <is>
          <t>4. 등급 정원 합계 = 직급 인원 (규칙 제26조① · 최대잔여법) / [별표 10] 대조</t>
        </is>
      </c>
    </row>
    <row r="45">
      <c r="A45" s="10" t="inlineStr">
        <is>
          <t>직급</t>
        </is>
      </c>
      <c r="B45" s="10" t="inlineStr">
        <is>
          <t>직급 인원</t>
        </is>
      </c>
      <c r="C45" s="10" t="inlineStr">
        <is>
          <t>S</t>
        </is>
      </c>
      <c r="D45" s="10" t="inlineStr">
        <is>
          <t>A</t>
        </is>
      </c>
      <c r="E45" s="10" t="inlineStr">
        <is>
          <t>B</t>
        </is>
      </c>
      <c r="F45" s="10" t="inlineStr">
        <is>
          <t>C</t>
        </is>
      </c>
      <c r="G45" s="10" t="inlineStr">
        <is>
          <t>정원 합계</t>
        </is>
      </c>
      <c r="H45" s="10" t="inlineStr">
        <is>
          <t>판정</t>
        </is>
      </c>
      <c r="I45" s="10" t="inlineStr">
        <is>
          <t>[별표 10] 대조</t>
        </is>
      </c>
    </row>
    <row r="46">
      <c r="A46" s="19" t="inlineStr">
        <is>
          <t>5급</t>
        </is>
      </c>
      <c r="B46" s="19">
        <f>'종합점수·등급'!$B$50</f>
        <v/>
      </c>
      <c r="C46" s="19">
        <f>'종합점수·등급'!$T$50</f>
        <v/>
      </c>
      <c r="D46" s="19">
        <f>'종합점수·등급'!$U$50</f>
        <v/>
      </c>
      <c r="E46" s="19">
        <f>'종합점수·등급'!$V$50</f>
        <v/>
      </c>
      <c r="F46" s="19">
        <f>'종합점수·등급'!$W$50</f>
        <v/>
      </c>
      <c r="G46" s="19">
        <f>SUM($C46:$F46)</f>
        <v/>
      </c>
      <c r="H46" s="19">
        <f>IF($G46=$B46,"PASS","FAIL")</f>
        <v/>
      </c>
      <c r="I46" s="20" t="inlineStr">
        <is>
          <t>10명 이상 — [별표 10] 대상 아님</t>
        </is>
      </c>
    </row>
    <row r="47">
      <c r="A47" s="19" t="inlineStr">
        <is>
          <t>4급</t>
        </is>
      </c>
      <c r="B47" s="19">
        <f>'종합점수·등급'!$B$51</f>
        <v/>
      </c>
      <c r="C47" s="19">
        <f>'종합점수·등급'!$T$51</f>
        <v/>
      </c>
      <c r="D47" s="19">
        <f>'종합점수·등급'!$U$51</f>
        <v/>
      </c>
      <c r="E47" s="19">
        <f>'종합점수·등급'!$V$51</f>
        <v/>
      </c>
      <c r="F47" s="19">
        <f>'종합점수·등급'!$W$51</f>
        <v/>
      </c>
      <c r="G47" s="19">
        <f>SUM($C47:$F47)</f>
        <v/>
      </c>
      <c r="H47" s="19">
        <f>IF($G47=$B47,"PASS","FAIL")</f>
        <v/>
      </c>
      <c r="I47" s="20">
        <f>IF(AND($B47=7,$C47=1,$D47=2,$E47=3,$F47=1),"PASS — [별표 10] 7명 행(1/2/3/1)과 일치","확인 필요")</f>
        <v/>
      </c>
    </row>
    <row r="49">
      <c r="A49" s="2" t="inlineStr">
        <is>
          <t>5. 1차·2차 평가자 간 순위 일치도 (스피어만) — 규칙 제9조⑥2호 보고 항목</t>
        </is>
      </c>
    </row>
    <row r="50">
      <c r="A50" s="4" t="inlineStr">
        <is>
          <t>평가군 5(1차 4급 7명) 과 평가군 6(2차 4급 7명) 의 순위상관</t>
        </is>
      </c>
      <c r="B50" s="23">
        <f>ROUND(CORREL('평가군 계산'!$H$66:$H$72,'평가군 계산'!$H$73:$H$79),4)</f>
        <v/>
      </c>
      <c r="C50" s="15" t="inlineStr">
        <is>
          <t>순위끼리의 피어슨 상관 = 스피어만 ρ. 동점이 없으므로 이 등식이 성립한다.</t>
        </is>
      </c>
    </row>
    <row r="52">
      <c r="A52" s="2" t="inlineStr">
        <is>
          <t>6. 종합 판정</t>
        </is>
      </c>
      <c r="B52" s="32">
        <f>IF(AND(COUNTIF($E$7:$E$12,"FAIL")=0,COUNTIF($H$7:$H$12,"FAIL")=0,COUNTIF($K$7:$K$12,"FAIL")=0,COUNTIF($F$28:$F$31,"FAIL")=0,COUNTIF($D$36:$D$42,"FAIL")=0,COUNTIF($H$46:$H$47,"FAIL")=0),"PASS — 전 항목 통과","FAIL — 위 항목 확인")</f>
        <v/>
      </c>
      <c r="C52" s="15" t="inlineStr">
        <is>
          <t>① 평가군별 평균·표준편차·조정 합계  ② ÷s(n) 효과  ③ 순위 보존·절단·동점·s(n) 표  ④ 등급 정원</t>
        </is>
      </c>
    </row>
  </sheetData>
  <mergeCells count="2">
    <mergeCell ref="A24:H24"/>
    <mergeCell ref="A16:H16"/>
  </mergeCells>
  <conditionalFormatting sqref="D7:D54">
    <cfRule type="cellIs" priority="1" operator="containsText" dxfId="0">
      <formula>NOT(ISERROR(SEARCH("PASS",D7)))</formula>
    </cfRule>
    <cfRule type="cellIs" priority="2" operator="containsText" dxfId="1">
      <formula>NOT(ISERROR(SEARCH("FAIL",D7)))</formula>
    </cfRule>
  </conditionalFormatting>
  <conditionalFormatting sqref="E7:E54">
    <cfRule type="cellIs" priority="3" operator="containsText" dxfId="0">
      <formula>NOT(ISERROR(SEARCH("PASS",E7)))</formula>
    </cfRule>
    <cfRule type="cellIs" priority="4" operator="containsText" dxfId="1">
      <formula>NOT(ISERROR(SEARCH("FAIL",E7)))</formula>
    </cfRule>
  </conditionalFormatting>
  <conditionalFormatting sqref="F7:F54">
    <cfRule type="cellIs" priority="5" operator="containsText" dxfId="0">
      <formula>NOT(ISERROR(SEARCH("PASS",F7)))</formula>
    </cfRule>
    <cfRule type="cellIs" priority="6" operator="containsText" dxfId="1">
      <formula>NOT(ISERROR(SEARCH("FAIL",F7)))</formula>
    </cfRule>
  </conditionalFormatting>
  <conditionalFormatting sqref="G7:G54">
    <cfRule type="cellIs" priority="7" operator="containsText" dxfId="0">
      <formula>NOT(ISERROR(SEARCH("PASS",G7)))</formula>
    </cfRule>
    <cfRule type="cellIs" priority="8" operator="containsText" dxfId="1">
      <formula>NOT(ISERROR(SEARCH("FAIL",G7)))</formula>
    </cfRule>
  </conditionalFormatting>
  <conditionalFormatting sqref="H7:H54">
    <cfRule type="cellIs" priority="9" operator="containsText" dxfId="0">
      <formula>NOT(ISERROR(SEARCH("PASS",H7)))</formula>
    </cfRule>
    <cfRule type="cellIs" priority="10" operator="containsText" dxfId="1">
      <formula>NOT(ISERROR(SEARCH("FAIL",H7)))</formula>
    </cfRule>
  </conditionalFormatting>
  <conditionalFormatting sqref="I7:I54">
    <cfRule type="cellIs" priority="11" operator="containsText" dxfId="0">
      <formula>NOT(ISERROR(SEARCH("PASS",I7)))</formula>
    </cfRule>
    <cfRule type="cellIs" priority="12" operator="containsText" dxfId="1">
      <formula>NOT(ISERROR(SEARCH("FAIL",I7)))</formula>
    </cfRule>
  </conditionalFormatting>
  <conditionalFormatting sqref="J7:J54">
    <cfRule type="cellIs" priority="13" operator="containsText" dxfId="0">
      <formula>NOT(ISERROR(SEARCH("PASS",J7)))</formula>
    </cfRule>
    <cfRule type="cellIs" priority="14" operator="containsText" dxfId="1">
      <formula>NOT(ISERROR(SEARCH("FAIL",J7)))</formula>
    </cfRule>
  </conditionalFormatting>
  <conditionalFormatting sqref="K7:K54">
    <cfRule type="cellIs" priority="15" operator="containsText" dxfId="0">
      <formula>NOT(ISERROR(SEARCH("PASS",K7)))</formula>
    </cfRule>
    <cfRule type="cellIs" priority="16" operator="containsText" dxfId="1">
      <formula>NOT(ISERROR(SEARCH("FAIL",K7)))</formula>
    </cfRule>
  </conditionalFormatting>
  <conditionalFormatting sqref="B7:B54">
    <cfRule type="cellIs" priority="17" operator="containsText" dxfId="0">
      <formula>NOT(ISERROR(SEARCH("PASS",B7)))</formula>
    </cfRule>
    <cfRule type="cellIs" priority="18" operator="containsText" dxfId="1">
      <formula>NOT(ISERROR(SEARCH("FAIL",B7)))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2" customWidth="1" min="5" max="5"/>
    <col width="20" customWidth="1" min="6" max="6"/>
    <col width="14" customWidth="1" min="7" max="7"/>
    <col width="26" customWidth="1" min="8" max="8"/>
    <col width="26" customWidth="1" min="9" max="9"/>
    <col width="12" customWidth="1" min="10" max="10"/>
    <col width="14" customWidth="1" min="11" max="11"/>
    <col width="40" customWidth="1" min="12" max="12"/>
    <col width="22" customWidth="1" min="13" max="13"/>
  </cols>
  <sheetData>
    <row r="1">
      <c r="A1" s="14" t="inlineStr">
        <is>
          <t>⑥ 예제 — 세 가지 상황의 재현</t>
        </is>
      </c>
    </row>
    <row r="2">
      <c r="A2" s="21" t="inlineStr">
        <is>
          <t>고지 — 이 파일의 모든 인명·점수는 산식 검증을 위한 모의 예시 데이터이며, 창업진흥원의 실제 근무평정 결과가 아니다.</t>
        </is>
      </c>
    </row>
    <row r="3">
      <c r="A3" s="15" t="inlineStr">
        <is>
          <t>각 예제는 다른 시트를 참조하지 않고 자기 안에서 수식으로 완결된다(④ s(n) 표만 참조).</t>
        </is>
      </c>
    </row>
    <row r="5">
      <c r="A5" s="2" t="inlineStr">
        <is>
          <t>예제 A · 10명 평가군 — 극단 성향 평가자 (부여폭 넓음)</t>
        </is>
      </c>
    </row>
    <row r="6">
      <c r="A6" s="33" t="inlineStr">
        <is>
          <t>무엇을 보여주는 예제인가 — 부여폭 38점을 보정하면 표준편차 7.00점으로 압축된다. 부서 내 순위는 그대로 보존된다.</t>
        </is>
      </c>
    </row>
    <row r="7" ht="40" customHeight="1">
      <c r="A7" s="10" t="inlineStr">
        <is>
          <t>피평가자</t>
        </is>
      </c>
      <c r="B7" s="10" t="inlineStr">
        <is>
          <t>원점수</t>
        </is>
      </c>
      <c r="C7" s="10" t="inlineStr">
        <is>
          <t>인원 n</t>
        </is>
      </c>
      <c r="D7" s="10" t="inlineStr">
        <is>
          <t>순위 r
(낮은 순=1위)</t>
        </is>
      </c>
      <c r="E7" s="10" t="inlineStr">
        <is>
          <t>s(n)</t>
        </is>
      </c>
      <c r="F7" s="10" t="inlineStr">
        <is>
          <t>p</t>
        </is>
      </c>
      <c r="G7" s="10" t="inlineStr">
        <is>
          <t>z = Φ⁻¹(p)</t>
        </is>
      </c>
      <c r="H7" s="10" t="inlineStr">
        <is>
          <t>보정점수
÷s(n) 적용 (별표 9 최종본)</t>
        </is>
      </c>
      <c r="I7" s="10" t="inlineStr">
        <is>
          <t>참고 · ÷s(n) 미적용
(세부지침 §1-2 표기값)</t>
        </is>
      </c>
      <c r="J7" s="10" t="inlineStr">
        <is>
          <t>조정 (제7호)</t>
        </is>
      </c>
      <c r="K7" s="10" t="inlineStr">
        <is>
          <t>조정 후 점수</t>
        </is>
      </c>
    </row>
    <row r="8">
      <c r="A8" s="19" t="inlineStr">
        <is>
          <t>직원 A</t>
        </is>
      </c>
      <c r="B8" s="22" t="n">
        <v>98</v>
      </c>
      <c r="C8" s="19">
        <f>COUNT($B$8:$B$17)</f>
        <v/>
      </c>
      <c r="D8" s="19">
        <f>RANK.EQ($B8,$B$8:$B$17,1)</f>
        <v/>
      </c>
      <c r="E8" s="23">
        <f>INDEX('s(n) 표'!$AQ$5:$AQ$43,MATCH($C8,'s(n) 표'!$A$5:$A$43,0))</f>
        <v/>
      </c>
      <c r="F8" s="23">
        <f>($D8-0.375)/($C8+0.25)</f>
        <v/>
      </c>
      <c r="G8" s="23">
        <f>NORM.S.INV($F8)</f>
        <v/>
      </c>
      <c r="H8" s="24">
        <f>ROUND(MEDIAN(60,80+7*$G8/$E8,100),3)</f>
        <v/>
      </c>
      <c r="I8" s="24">
        <f>ROUND(MEDIAN(60,80+7*$G8,100),3)</f>
        <v/>
      </c>
      <c r="J8" s="16" t="n">
        <v>5</v>
      </c>
      <c r="K8" s="24">
        <f>ROUND(MEDIAN(60,$H8+$J8,100),3)</f>
        <v/>
      </c>
    </row>
    <row r="9">
      <c r="A9" s="19" t="inlineStr">
        <is>
          <t>직원 B</t>
        </is>
      </c>
      <c r="B9" s="22" t="n">
        <v>95</v>
      </c>
      <c r="C9" s="19">
        <f>COUNT($B$8:$B$17)</f>
        <v/>
      </c>
      <c r="D9" s="19">
        <f>RANK.EQ($B9,$B$8:$B$17,1)</f>
        <v/>
      </c>
      <c r="E9" s="23">
        <f>INDEX('s(n) 표'!$AQ$5:$AQ$43,MATCH($C9,'s(n) 표'!$A$5:$A$43,0))</f>
        <v/>
      </c>
      <c r="F9" s="23">
        <f>($D9-0.375)/($C9+0.25)</f>
        <v/>
      </c>
      <c r="G9" s="23">
        <f>NORM.S.INV($F9)</f>
        <v/>
      </c>
      <c r="H9" s="24">
        <f>ROUND(MEDIAN(60,80+7*$G9/$E9,100),3)</f>
        <v/>
      </c>
      <c r="I9" s="24">
        <f>ROUND(MEDIAN(60,80+7*$G9,100),3)</f>
        <v/>
      </c>
      <c r="J9" s="16" t="n">
        <v>3</v>
      </c>
      <c r="K9" s="24">
        <f>ROUND(MEDIAN(60,$H9+$J9,100),3)</f>
        <v/>
      </c>
    </row>
    <row r="10">
      <c r="A10" s="19" t="inlineStr">
        <is>
          <t>직원 C</t>
        </is>
      </c>
      <c r="B10" s="22" t="n">
        <v>92</v>
      </c>
      <c r="C10" s="19">
        <f>COUNT($B$8:$B$17)</f>
        <v/>
      </c>
      <c r="D10" s="19">
        <f>RANK.EQ($B10,$B$8:$B$17,1)</f>
        <v/>
      </c>
      <c r="E10" s="23">
        <f>INDEX('s(n) 표'!$AQ$5:$AQ$43,MATCH($C10,'s(n) 표'!$A$5:$A$43,0))</f>
        <v/>
      </c>
      <c r="F10" s="23">
        <f>($D10-0.375)/($C10+0.25)</f>
        <v/>
      </c>
      <c r="G10" s="23">
        <f>NORM.S.INV($F10)</f>
        <v/>
      </c>
      <c r="H10" s="24">
        <f>ROUND(MEDIAN(60,80+7*$G10/$E10,100),3)</f>
        <v/>
      </c>
      <c r="I10" s="24">
        <f>ROUND(MEDIAN(60,80+7*$G10,100),3)</f>
        <v/>
      </c>
      <c r="J10" s="16" t="n">
        <v>2</v>
      </c>
      <c r="K10" s="24">
        <f>ROUND(MEDIAN(60,$H10+$J10,100),3)</f>
        <v/>
      </c>
    </row>
    <row r="11">
      <c r="A11" s="19" t="inlineStr">
        <is>
          <t>직원 D</t>
        </is>
      </c>
      <c r="B11" s="22" t="n">
        <v>88</v>
      </c>
      <c r="C11" s="19">
        <f>COUNT($B$8:$B$17)</f>
        <v/>
      </c>
      <c r="D11" s="19">
        <f>RANK.EQ($B11,$B$8:$B$17,1)</f>
        <v/>
      </c>
      <c r="E11" s="23">
        <f>INDEX('s(n) 표'!$AQ$5:$AQ$43,MATCH($C11,'s(n) 표'!$A$5:$A$43,0))</f>
        <v/>
      </c>
      <c r="F11" s="23">
        <f>($D11-0.375)/($C11+0.25)</f>
        <v/>
      </c>
      <c r="G11" s="23">
        <f>NORM.S.INV($F11)</f>
        <v/>
      </c>
      <c r="H11" s="24">
        <f>ROUND(MEDIAN(60,80+7*$G11/$E11,100),3)</f>
        <v/>
      </c>
      <c r="I11" s="24">
        <f>ROUND(MEDIAN(60,80+7*$G11,100),3)</f>
        <v/>
      </c>
      <c r="J11" s="16" t="n">
        <v>1</v>
      </c>
      <c r="K11" s="24">
        <f>ROUND(MEDIAN(60,$H11+$J11,100),3)</f>
        <v/>
      </c>
    </row>
    <row r="12">
      <c r="A12" s="19" t="inlineStr">
        <is>
          <t>직원 E</t>
        </is>
      </c>
      <c r="B12" s="22" t="n">
        <v>84</v>
      </c>
      <c r="C12" s="19">
        <f>COUNT($B$8:$B$17)</f>
        <v/>
      </c>
      <c r="D12" s="19">
        <f>RANK.EQ($B12,$B$8:$B$17,1)</f>
        <v/>
      </c>
      <c r="E12" s="23">
        <f>INDEX('s(n) 표'!$AQ$5:$AQ$43,MATCH($C12,'s(n) 표'!$A$5:$A$43,0))</f>
        <v/>
      </c>
      <c r="F12" s="23">
        <f>($D12-0.375)/($C12+0.25)</f>
        <v/>
      </c>
      <c r="G12" s="23">
        <f>NORM.S.INV($F12)</f>
        <v/>
      </c>
      <c r="H12" s="24">
        <f>ROUND(MEDIAN(60,80+7*$G12/$E12,100),3)</f>
        <v/>
      </c>
      <c r="I12" s="24">
        <f>ROUND(MEDIAN(60,80+7*$G12,100),3)</f>
        <v/>
      </c>
      <c r="J12" s="16" t="n">
        <v>0</v>
      </c>
      <c r="K12" s="24">
        <f>ROUND(MEDIAN(60,$H12+$J12,100),3)</f>
        <v/>
      </c>
    </row>
    <row r="13">
      <c r="A13" s="19" t="inlineStr">
        <is>
          <t>직원 F</t>
        </is>
      </c>
      <c r="B13" s="22" t="n">
        <v>80</v>
      </c>
      <c r="C13" s="19">
        <f>COUNT($B$8:$B$17)</f>
        <v/>
      </c>
      <c r="D13" s="19">
        <f>RANK.EQ($B13,$B$8:$B$17,1)</f>
        <v/>
      </c>
      <c r="E13" s="23">
        <f>INDEX('s(n) 표'!$AQ$5:$AQ$43,MATCH($C13,'s(n) 표'!$A$5:$A$43,0))</f>
        <v/>
      </c>
      <c r="F13" s="23">
        <f>($D13-0.375)/($C13+0.25)</f>
        <v/>
      </c>
      <c r="G13" s="23">
        <f>NORM.S.INV($F13)</f>
        <v/>
      </c>
      <c r="H13" s="24">
        <f>ROUND(MEDIAN(60,80+7*$G13/$E13,100),3)</f>
        <v/>
      </c>
      <c r="I13" s="24">
        <f>ROUND(MEDIAN(60,80+7*$G13,100),3)</f>
        <v/>
      </c>
      <c r="J13" s="16" t="n">
        <v>0</v>
      </c>
      <c r="K13" s="24">
        <f>ROUND(MEDIAN(60,$H13+$J13,100),3)</f>
        <v/>
      </c>
    </row>
    <row r="14">
      <c r="A14" s="19" t="inlineStr">
        <is>
          <t>직원 G</t>
        </is>
      </c>
      <c r="B14" s="22" t="n">
        <v>76</v>
      </c>
      <c r="C14" s="19">
        <f>COUNT($B$8:$B$17)</f>
        <v/>
      </c>
      <c r="D14" s="19">
        <f>RANK.EQ($B14,$B$8:$B$17,1)</f>
        <v/>
      </c>
      <c r="E14" s="23">
        <f>INDEX('s(n) 표'!$AQ$5:$AQ$43,MATCH($C14,'s(n) 표'!$A$5:$A$43,0))</f>
        <v/>
      </c>
      <c r="F14" s="23">
        <f>($D14-0.375)/($C14+0.25)</f>
        <v/>
      </c>
      <c r="G14" s="23">
        <f>NORM.S.INV($F14)</f>
        <v/>
      </c>
      <c r="H14" s="24">
        <f>ROUND(MEDIAN(60,80+7*$G14/$E14,100),3)</f>
        <v/>
      </c>
      <c r="I14" s="24">
        <f>ROUND(MEDIAN(60,80+7*$G14,100),3)</f>
        <v/>
      </c>
      <c r="J14" s="16" t="n">
        <v>-1</v>
      </c>
      <c r="K14" s="24">
        <f>ROUND(MEDIAN(60,$H14+$J14,100),3)</f>
        <v/>
      </c>
    </row>
    <row r="15">
      <c r="A15" s="19" t="inlineStr">
        <is>
          <t>직원 H</t>
        </is>
      </c>
      <c r="B15" s="22" t="n">
        <v>72</v>
      </c>
      <c r="C15" s="19">
        <f>COUNT($B$8:$B$17)</f>
        <v/>
      </c>
      <c r="D15" s="19">
        <f>RANK.EQ($B15,$B$8:$B$17,1)</f>
        <v/>
      </c>
      <c r="E15" s="23">
        <f>INDEX('s(n) 표'!$AQ$5:$AQ$43,MATCH($C15,'s(n) 표'!$A$5:$A$43,0))</f>
        <v/>
      </c>
      <c r="F15" s="23">
        <f>($D15-0.375)/($C15+0.25)</f>
        <v/>
      </c>
      <c r="G15" s="23">
        <f>NORM.S.INV($F15)</f>
        <v/>
      </c>
      <c r="H15" s="24">
        <f>ROUND(MEDIAN(60,80+7*$G15/$E15,100),3)</f>
        <v/>
      </c>
      <c r="I15" s="24">
        <f>ROUND(MEDIAN(60,80+7*$G15,100),3)</f>
        <v/>
      </c>
      <c r="J15" s="16" t="n">
        <v>-2</v>
      </c>
      <c r="K15" s="24">
        <f>ROUND(MEDIAN(60,$H15+$J15,100),3)</f>
        <v/>
      </c>
    </row>
    <row r="16">
      <c r="A16" s="19" t="inlineStr">
        <is>
          <t>직원 I</t>
        </is>
      </c>
      <c r="B16" s="22" t="n">
        <v>66</v>
      </c>
      <c r="C16" s="19">
        <f>COUNT($B$8:$B$17)</f>
        <v/>
      </c>
      <c r="D16" s="19">
        <f>RANK.EQ($B16,$B$8:$B$17,1)</f>
        <v/>
      </c>
      <c r="E16" s="23">
        <f>INDEX('s(n) 표'!$AQ$5:$AQ$43,MATCH($C16,'s(n) 표'!$A$5:$A$43,0))</f>
        <v/>
      </c>
      <c r="F16" s="23">
        <f>($D16-0.375)/($C16+0.25)</f>
        <v/>
      </c>
      <c r="G16" s="23">
        <f>NORM.S.INV($F16)</f>
        <v/>
      </c>
      <c r="H16" s="24">
        <f>ROUND(MEDIAN(60,80+7*$G16/$E16,100),3)</f>
        <v/>
      </c>
      <c r="I16" s="24">
        <f>ROUND(MEDIAN(60,80+7*$G16,100),3)</f>
        <v/>
      </c>
      <c r="J16" s="16" t="n">
        <v>-3</v>
      </c>
      <c r="K16" s="24">
        <f>ROUND(MEDIAN(60,$H16+$J16,100),3)</f>
        <v/>
      </c>
    </row>
    <row r="17">
      <c r="A17" s="19" t="inlineStr">
        <is>
          <t>직원 J</t>
        </is>
      </c>
      <c r="B17" s="22" t="n">
        <v>60</v>
      </c>
      <c r="C17" s="19">
        <f>COUNT($B$8:$B$17)</f>
        <v/>
      </c>
      <c r="D17" s="19">
        <f>RANK.EQ($B17,$B$8:$B$17,1)</f>
        <v/>
      </c>
      <c r="E17" s="23">
        <f>INDEX('s(n) 표'!$AQ$5:$AQ$43,MATCH($C17,'s(n) 표'!$A$5:$A$43,0))</f>
        <v/>
      </c>
      <c r="F17" s="23">
        <f>($D17-0.375)/($C17+0.25)</f>
        <v/>
      </c>
      <c r="G17" s="23">
        <f>NORM.S.INV($F17)</f>
        <v/>
      </c>
      <c r="H17" s="24">
        <f>ROUND(MEDIAN(60,80+7*$G17/$E17,100),3)</f>
        <v/>
      </c>
      <c r="I17" s="24">
        <f>ROUND(MEDIAN(60,80+7*$G17,100),3)</f>
        <v/>
      </c>
      <c r="J17" s="16" t="n">
        <v>-5</v>
      </c>
      <c r="K17" s="24">
        <f>ROUND(MEDIAN(60,$H17+$J17,100),3)</f>
        <v/>
      </c>
    </row>
    <row r="18">
      <c r="A18" s="34" t="inlineStr">
        <is>
          <t>평균</t>
        </is>
      </c>
      <c r="B18" s="24">
        <f>ROUND(AVERAGE($B$8:$B$17),3)</f>
        <v/>
      </c>
      <c r="H18" s="24">
        <f>ROUND(AVERAGE($H$8:$H$17),3)</f>
        <v/>
      </c>
      <c r="I18" s="24">
        <f>ROUND(AVERAGE($I$8:$I$17),3)</f>
        <v/>
      </c>
      <c r="J18" s="27">
        <f>ROUND(SUM($J$8:$J$17),2)</f>
        <v/>
      </c>
      <c r="K18" s="24">
        <f>ROUND(AVERAGE($K$8:$K$17),3)</f>
        <v/>
      </c>
      <c r="L18" s="19">
        <f>IF($J18=0,"PASS — 조정 합계 0 (제7호)","FAIL")</f>
        <v/>
      </c>
    </row>
    <row r="19">
      <c r="A19" s="34" t="inlineStr">
        <is>
          <t>표준편차 STDEVP</t>
        </is>
      </c>
      <c r="B19" s="24">
        <f>ROUND(STDEVP($B$8:$B$17),3)</f>
        <v/>
      </c>
      <c r="H19" s="24">
        <f>ROUND(STDEVP($H$8:$H$17),3)</f>
        <v/>
      </c>
      <c r="I19" s="24">
        <f>ROUND(STDEVP($I$8:$I$17),3)</f>
        <v/>
      </c>
    </row>
    <row r="20">
      <c r="A20" s="34" t="inlineStr">
        <is>
          <t>부여폭 (최고−최저)</t>
        </is>
      </c>
      <c r="B20" s="24">
        <f>ROUND(MAX($B$8:$B$17)-MIN($B$8:$B$17),3)</f>
        <v/>
      </c>
      <c r="H20" s="24">
        <f>ROUND(MAX($H$8:$H$17)-MIN($H$8:$H$17),3)</f>
        <v/>
      </c>
    </row>
    <row r="21">
      <c r="A21" s="31" t="inlineStr">
        <is>
          <t>H열이 개정안 [별표 9] 최종본(÷s(n) 적용)이다. I열은 ÷s(n)이 없던 단계의 값으로, 〈08 세부지침〉 §1-2 표(90.83 … 69.17)와 같다. 최종본에서는 92.137 … 67.863 이 되고 표준편차가 6.244 → 7.000 으로 제4호의 목표값을 달성한다.</t>
        </is>
      </c>
    </row>
    <row r="23">
      <c r="A23" s="2" t="inlineStr">
        <is>
          <t>예제 B · 4명 평가군 — [별표 9] 제5호 적용 (1차 보정 미실시 · 2차 100%)</t>
        </is>
      </c>
    </row>
    <row r="24">
      <c r="A24" s="33" t="inlineStr">
        <is>
          <t>무엇을 보여주는 예제인가 — 6명 미만이므로 제3호 보정을 실시하지 아니하고, 2차 평가자의 보정점수를 100% 반영한다. 1차 평가자의 ±5점 조정만 남는다.</t>
        </is>
      </c>
    </row>
    <row r="25" ht="40" customHeight="1">
      <c r="A25" s="10" t="inlineStr">
        <is>
          <t>피평가자</t>
        </is>
      </c>
      <c r="B25" s="10" t="inlineStr">
        <is>
          <t>원점수</t>
        </is>
      </c>
      <c r="C25" s="10" t="inlineStr">
        <is>
          <t>인원 n</t>
        </is>
      </c>
      <c r="D25" s="10" t="inlineStr">
        <is>
          <t>순위 r
(낮은 순=1위)</t>
        </is>
      </c>
      <c r="E25" s="10" t="inlineStr">
        <is>
          <t>s(n)</t>
        </is>
      </c>
      <c r="F25" s="10" t="inlineStr">
        <is>
          <t>p</t>
        </is>
      </c>
      <c r="G25" s="10" t="inlineStr">
        <is>
          <t>z = Φ⁻¹(p)</t>
        </is>
      </c>
      <c r="H25" s="10" t="inlineStr">
        <is>
          <t>보정점수
÷s(n) 적용 (별표 9 최종본)</t>
        </is>
      </c>
      <c r="I25" s="10" t="inlineStr">
        <is>
          <t>참고 · ÷s(n) 미적용
(세부지침 §1-2 표기값)</t>
        </is>
      </c>
    </row>
    <row r="26">
      <c r="A26" s="19" t="inlineStr">
        <is>
          <t>직원 A</t>
        </is>
      </c>
      <c r="B26" s="22" t="n">
        <v>92</v>
      </c>
      <c r="C26" s="19">
        <f>COUNT($B$26:$B$29)</f>
        <v/>
      </c>
      <c r="D26" s="19">
        <f>RANK.EQ($B26,$B$26:$B$29,1)</f>
        <v/>
      </c>
      <c r="E26" s="23">
        <f>INDEX('s(n) 표'!$AQ$5:$AQ$43,MATCH($C26,'s(n) 표'!$A$5:$A$43,0))</f>
        <v/>
      </c>
      <c r="F26" s="23">
        <f>($D26-0.375)/($C26+0.25)</f>
        <v/>
      </c>
      <c r="G26" s="23">
        <f>NORM.S.INV($F26)</f>
        <v/>
      </c>
      <c r="H26" s="24">
        <f>ROUND(MEDIAN(60,80+7*$G26/$E26,100),3)</f>
        <v/>
      </c>
      <c r="I26" s="24">
        <f>ROUND(MEDIAN(60,80+7*$G26,100),3)</f>
        <v/>
      </c>
    </row>
    <row r="27">
      <c r="A27" s="19" t="inlineStr">
        <is>
          <t>직원 B</t>
        </is>
      </c>
      <c r="B27" s="22" t="n">
        <v>86</v>
      </c>
      <c r="C27" s="19">
        <f>COUNT($B$26:$B$29)</f>
        <v/>
      </c>
      <c r="D27" s="19">
        <f>RANK.EQ($B27,$B$26:$B$29,1)</f>
        <v/>
      </c>
      <c r="E27" s="23">
        <f>INDEX('s(n) 표'!$AQ$5:$AQ$43,MATCH($C27,'s(n) 표'!$A$5:$A$43,0))</f>
        <v/>
      </c>
      <c r="F27" s="23">
        <f>($D27-0.375)/($C27+0.25)</f>
        <v/>
      </c>
      <c r="G27" s="23">
        <f>NORM.S.INV($F27)</f>
        <v/>
      </c>
      <c r="H27" s="24">
        <f>ROUND(MEDIAN(60,80+7*$G27/$E27,100),3)</f>
        <v/>
      </c>
      <c r="I27" s="24">
        <f>ROUND(MEDIAN(60,80+7*$G27,100),3)</f>
        <v/>
      </c>
    </row>
    <row r="28">
      <c r="A28" s="19" t="inlineStr">
        <is>
          <t>직원 C</t>
        </is>
      </c>
      <c r="B28" s="22" t="n">
        <v>78</v>
      </c>
      <c r="C28" s="19">
        <f>COUNT($B$26:$B$29)</f>
        <v/>
      </c>
      <c r="D28" s="19">
        <f>RANK.EQ($B28,$B$26:$B$29,1)</f>
        <v/>
      </c>
      <c r="E28" s="23">
        <f>INDEX('s(n) 표'!$AQ$5:$AQ$43,MATCH($C28,'s(n) 표'!$A$5:$A$43,0))</f>
        <v/>
      </c>
      <c r="F28" s="23">
        <f>($D28-0.375)/($C28+0.25)</f>
        <v/>
      </c>
      <c r="G28" s="23">
        <f>NORM.S.INV($F28)</f>
        <v/>
      </c>
      <c r="H28" s="24">
        <f>ROUND(MEDIAN(60,80+7*$G28/$E28,100),3)</f>
        <v/>
      </c>
      <c r="I28" s="24">
        <f>ROUND(MEDIAN(60,80+7*$G28,100),3)</f>
        <v/>
      </c>
    </row>
    <row r="29">
      <c r="A29" s="19" t="inlineStr">
        <is>
          <t>직원 D</t>
        </is>
      </c>
      <c r="B29" s="22" t="n">
        <v>70</v>
      </c>
      <c r="C29" s="19">
        <f>COUNT($B$26:$B$29)</f>
        <v/>
      </c>
      <c r="D29" s="19">
        <f>RANK.EQ($B29,$B$26:$B$29,1)</f>
        <v/>
      </c>
      <c r="E29" s="23">
        <f>INDEX('s(n) 표'!$AQ$5:$AQ$43,MATCH($C29,'s(n) 표'!$A$5:$A$43,0))</f>
        <v/>
      </c>
      <c r="F29" s="23">
        <f>($D29-0.375)/($C29+0.25)</f>
        <v/>
      </c>
      <c r="G29" s="23">
        <f>NORM.S.INV($F29)</f>
        <v/>
      </c>
      <c r="H29" s="24">
        <f>ROUND(MEDIAN(60,80+7*$G29/$E29,100),3)</f>
        <v/>
      </c>
      <c r="I29" s="24">
        <f>ROUND(MEDIAN(60,80+7*$G29,100),3)</f>
        <v/>
      </c>
    </row>
    <row r="30">
      <c r="A30" s="34" t="inlineStr">
        <is>
          <t>평균</t>
        </is>
      </c>
      <c r="B30" s="24">
        <f>ROUND(AVERAGE($B$26:$B$29),3)</f>
        <v/>
      </c>
      <c r="H30" s="24">
        <f>ROUND(AVERAGE($H$26:$H$29),3)</f>
        <v/>
      </c>
      <c r="I30" s="24">
        <f>ROUND(AVERAGE($I$26:$I$29),3)</f>
        <v/>
      </c>
    </row>
    <row r="31">
      <c r="A31" s="34" t="inlineStr">
        <is>
          <t>표준편차 STDEVP</t>
        </is>
      </c>
      <c r="B31" s="24">
        <f>ROUND(STDEVP($B$26:$B$29),3)</f>
        <v/>
      </c>
      <c r="H31" s="24">
        <f>ROUND(STDEVP($H$26:$H$29),3)</f>
        <v/>
      </c>
      <c r="I31" s="24">
        <f>ROUND(STDEVP($I$26:$I$29),3)</f>
        <v/>
      </c>
    </row>
    <row r="32">
      <c r="A32" s="34" t="inlineStr">
        <is>
          <t>부여폭 (최고−최저)</t>
        </is>
      </c>
      <c r="B32" s="24">
        <f>ROUND(MAX($B$26:$B$29)-MIN($B$26:$B$29),3)</f>
        <v/>
      </c>
      <c r="H32" s="24">
        <f>ROUND(MAX($H$26:$H$29)-MIN($H$26:$H$29),3)</f>
        <v/>
      </c>
    </row>
    <row r="33">
      <c r="A33" s="31" t="inlineStr">
        <is>
          <t>아래 표가 제5호의 실제 계산이다. 위 H·I열의 값은 「4명 평가군에 제3호를 그대로 적용하면 어떻게 되는가」를 참고로 보여주는 것이며, 제5호에 따라 사용하지 아니한다.</t>
        </is>
      </c>
    </row>
    <row r="35">
      <c r="A35" s="2" t="inlineStr">
        <is>
          <t>예제 B 계산 — 제5호에 따른 실제 산출</t>
        </is>
      </c>
    </row>
    <row r="36" ht="34" customHeight="1">
      <c r="A36" s="10" t="inlineStr">
        <is>
          <t>피평가자</t>
        </is>
      </c>
      <c r="B36" s="10" t="inlineStr">
        <is>
          <t>1차 원점수
(참고)</t>
        </is>
      </c>
      <c r="C36" s="10" t="inlineStr">
        <is>
          <t>2차 평가군 인원</t>
        </is>
      </c>
      <c r="D36" s="10" t="inlineStr">
        <is>
          <t>2차 평가군 순위</t>
        </is>
      </c>
      <c r="E36" s="10" t="inlineStr">
        <is>
          <t>2차 s(n)</t>
        </is>
      </c>
      <c r="F36" s="10" t="inlineStr">
        <is>
          <t>2차 보정점수
= 업적·역량 100%</t>
        </is>
      </c>
      <c r="G36" s="10" t="inlineStr">
        <is>
          <t>1차 조정 (제7호)</t>
        </is>
      </c>
      <c r="H36" s="10" t="inlineStr">
        <is>
          <t>최종 점수</t>
        </is>
      </c>
    </row>
    <row r="37">
      <c r="A37" s="19" t="inlineStr">
        <is>
          <t>직원 A</t>
        </is>
      </c>
      <c r="B37" s="16" t="n">
        <v>92</v>
      </c>
      <c r="C37" s="16" t="n">
        <v>36</v>
      </c>
      <c r="D37" s="16" t="n">
        <v>31</v>
      </c>
      <c r="E37" s="23">
        <f>INDEX('s(n) 표'!$AQ$5:$AQ$43,MATCH($C37,'s(n) 표'!$A$5:$A$43,0))</f>
        <v/>
      </c>
      <c r="F37" s="24">
        <f>ROUND(MEDIAN(60,80+7*NORM.S.INV(($D37-0.375)/($C37+0.25))/$E37,100),3)</f>
        <v/>
      </c>
      <c r="G37" s="16" t="n">
        <v>4</v>
      </c>
      <c r="H37" s="24">
        <f>ROUND(MEDIAN(60,$F37+$G37,100),3)</f>
        <v/>
      </c>
    </row>
    <row r="38">
      <c r="A38" s="19" t="inlineStr">
        <is>
          <t>직원 B</t>
        </is>
      </c>
      <c r="B38" s="16" t="n">
        <v>86</v>
      </c>
      <c r="C38" s="16" t="n">
        <v>36</v>
      </c>
      <c r="D38" s="16" t="n">
        <v>22</v>
      </c>
      <c r="E38" s="23">
        <f>INDEX('s(n) 표'!$AQ$5:$AQ$43,MATCH($C38,'s(n) 표'!$A$5:$A$43,0))</f>
        <v/>
      </c>
      <c r="F38" s="24">
        <f>ROUND(MEDIAN(60,80+7*NORM.S.INV(($D38-0.375)/($C38+0.25))/$E38,100),3)</f>
        <v/>
      </c>
      <c r="G38" s="16" t="n">
        <v>1</v>
      </c>
      <c r="H38" s="24">
        <f>ROUND(MEDIAN(60,$F38+$G38,100),3)</f>
        <v/>
      </c>
    </row>
    <row r="39">
      <c r="A39" s="19" t="inlineStr">
        <is>
          <t>직원 C</t>
        </is>
      </c>
      <c r="B39" s="16" t="n">
        <v>78</v>
      </c>
      <c r="C39" s="16" t="n">
        <v>36</v>
      </c>
      <c r="D39" s="16" t="n">
        <v>13</v>
      </c>
      <c r="E39" s="23">
        <f>INDEX('s(n) 표'!$AQ$5:$AQ$43,MATCH($C39,'s(n) 표'!$A$5:$A$43,0))</f>
        <v/>
      </c>
      <c r="F39" s="24">
        <f>ROUND(MEDIAN(60,80+7*NORM.S.INV(($D39-0.375)/($C39+0.25))/$E39,100),3)</f>
        <v/>
      </c>
      <c r="G39" s="16" t="n">
        <v>-1</v>
      </c>
      <c r="H39" s="24">
        <f>ROUND(MEDIAN(60,$F39+$G39,100),3)</f>
        <v/>
      </c>
    </row>
    <row r="40">
      <c r="A40" s="19" t="inlineStr">
        <is>
          <t>직원 D</t>
        </is>
      </c>
      <c r="B40" s="16" t="n">
        <v>70</v>
      </c>
      <c r="C40" s="16" t="n">
        <v>36</v>
      </c>
      <c r="D40" s="16" t="n">
        <v>6</v>
      </c>
      <c r="E40" s="23">
        <f>INDEX('s(n) 표'!$AQ$5:$AQ$43,MATCH($C40,'s(n) 표'!$A$5:$A$43,0))</f>
        <v/>
      </c>
      <c r="F40" s="24">
        <f>ROUND(MEDIAN(60,80+7*NORM.S.INV(($D40-0.375)/($C40+0.25))/$E40,100),3)</f>
        <v/>
      </c>
      <c r="G40" s="16" t="n">
        <v>-4</v>
      </c>
      <c r="H40" s="24">
        <f>ROUND(MEDIAN(60,$F40+$G40,100),3)</f>
        <v/>
      </c>
    </row>
    <row r="41">
      <c r="A41" s="34" t="inlineStr">
        <is>
          <t>합계 / 평균</t>
        </is>
      </c>
      <c r="F41" s="24">
        <f>ROUND(AVERAGE($F$37:$F$40),3)</f>
        <v/>
      </c>
      <c r="G41" s="27">
        <f>ROUND(SUM($G$37:$G$40),2)</f>
        <v/>
      </c>
      <c r="H41" s="24">
        <f>ROUND(AVERAGE($H$37:$H$40),3)</f>
        <v/>
      </c>
      <c r="I41" s="19">
        <f>IF(AND($G41=0,ROUND($F41,3)=ROUND($H41,3)),"PASS — 조정 합계 0이므로 평가군 평균 불변","FAIL")</f>
        <v/>
      </c>
    </row>
    <row r="42">
      <c r="A42" s="15" t="inlineStr">
        <is>
          <t>2차 평가자의 평가군 인원도 6명 미만이면 80점을 부여한다([별표 9] 제5호 후단). 위 조건(2차 36명 · 순위 6/15/24/31)은 〈08 세부지침〉 §1-3 예제와 같고, n=36 ≥ 17 이므로 s(n)=1 이어서 세부지침의 87.10 / 81.71 / 77.27 / 72.90 과 일치한다.</t>
        </is>
      </c>
    </row>
    <row r="45">
      <c r="A45" s="2" t="inlineStr">
        <is>
          <t>예제 C · 10명 평가군 — 균등 성향 평가자 (전원 78~80점)  ★ 개정안의 핵심 효과</t>
        </is>
      </c>
    </row>
    <row r="46">
      <c r="A46" s="33" t="inlineStr">
        <is>
          <t>무엇을 보여주는 예제인가 — 부여폭 1.8점밖에 없던 평가군에 보정 후 표준편차 7.00점의 차등이 생긴다. 예제 A와 보정점수가 완전히 같아진다.</t>
        </is>
      </c>
    </row>
    <row r="47" ht="40" customHeight="1">
      <c r="A47" s="10" t="inlineStr">
        <is>
          <t>피평가자</t>
        </is>
      </c>
      <c r="B47" s="10" t="inlineStr">
        <is>
          <t>원점수</t>
        </is>
      </c>
      <c r="C47" s="10" t="inlineStr">
        <is>
          <t>인원 n</t>
        </is>
      </c>
      <c r="D47" s="10" t="inlineStr">
        <is>
          <t>순위 r
(낮은 순=1위)</t>
        </is>
      </c>
      <c r="E47" s="10" t="inlineStr">
        <is>
          <t>s(n)</t>
        </is>
      </c>
      <c r="F47" s="10" t="inlineStr">
        <is>
          <t>p</t>
        </is>
      </c>
      <c r="G47" s="10" t="inlineStr">
        <is>
          <t>z = Φ⁻¹(p)</t>
        </is>
      </c>
      <c r="H47" s="10" t="inlineStr">
        <is>
          <t>보정점수
÷s(n) 적용 (별표 9 최종본)</t>
        </is>
      </c>
      <c r="I47" s="10" t="inlineStr">
        <is>
          <t>참고 · ÷s(n) 미적용
(세부지침 §1-2 표기값)</t>
        </is>
      </c>
      <c r="M47" s="34" t="inlineStr">
        <is>
          <t>예제 A 같은 순위와의 차</t>
        </is>
      </c>
    </row>
    <row r="48">
      <c r="A48" s="19" t="inlineStr">
        <is>
          <t>직원 A</t>
        </is>
      </c>
      <c r="B48" s="22" t="n">
        <v>78</v>
      </c>
      <c r="C48" s="19">
        <f>COUNT($B$48:$B$57)</f>
        <v/>
      </c>
      <c r="D48" s="19">
        <f>RANK.EQ($B48,$B$48:$B$57,1)</f>
        <v/>
      </c>
      <c r="E48" s="23">
        <f>INDEX('s(n) 표'!$AQ$5:$AQ$43,MATCH($C48,'s(n) 표'!$A$5:$A$43,0))</f>
        <v/>
      </c>
      <c r="F48" s="23">
        <f>($D48-0.375)/($C48+0.25)</f>
        <v/>
      </c>
      <c r="G48" s="23">
        <f>NORM.S.INV($F48)</f>
        <v/>
      </c>
      <c r="H48" s="24">
        <f>ROUND(MEDIAN(60,80+7*$G48/$E48,100),3)</f>
        <v/>
      </c>
      <c r="I48" s="24">
        <f>ROUND(MEDIAN(60,80+7*$G48,100),3)</f>
        <v/>
      </c>
      <c r="M48" s="24">
        <f>IFERROR(ROUND($H48,3)-ROUND(INDEX($H$8:$H$17,MATCH($D48,$D$8:$D$17,0)),3),"예제 A에 같은 순위가 없다")</f>
        <v/>
      </c>
    </row>
    <row r="49">
      <c r="A49" s="19" t="inlineStr">
        <is>
          <t>직원 B</t>
        </is>
      </c>
      <c r="B49" s="22" t="n">
        <v>78.2</v>
      </c>
      <c r="C49" s="19">
        <f>COUNT($B$48:$B$57)</f>
        <v/>
      </c>
      <c r="D49" s="19">
        <f>RANK.EQ($B49,$B$48:$B$57,1)</f>
        <v/>
      </c>
      <c r="E49" s="23">
        <f>INDEX('s(n) 표'!$AQ$5:$AQ$43,MATCH($C49,'s(n) 표'!$A$5:$A$43,0))</f>
        <v/>
      </c>
      <c r="F49" s="23">
        <f>($D49-0.375)/($C49+0.25)</f>
        <v/>
      </c>
      <c r="G49" s="23">
        <f>NORM.S.INV($F49)</f>
        <v/>
      </c>
      <c r="H49" s="24">
        <f>ROUND(MEDIAN(60,80+7*$G49/$E49,100),3)</f>
        <v/>
      </c>
      <c r="I49" s="24">
        <f>ROUND(MEDIAN(60,80+7*$G49,100),3)</f>
        <v/>
      </c>
      <c r="M49" s="24">
        <f>IFERROR(ROUND($H49,3)-ROUND(INDEX($H$8:$H$17,MATCH($D49,$D$8:$D$17,0)),3),"예제 A에 같은 순위가 없다")</f>
        <v/>
      </c>
    </row>
    <row r="50">
      <c r="A50" s="19" t="inlineStr">
        <is>
          <t>직원 C</t>
        </is>
      </c>
      <c r="B50" s="22" t="n">
        <v>78.40000000000001</v>
      </c>
      <c r="C50" s="19">
        <f>COUNT($B$48:$B$57)</f>
        <v/>
      </c>
      <c r="D50" s="19">
        <f>RANK.EQ($B50,$B$48:$B$57,1)</f>
        <v/>
      </c>
      <c r="E50" s="23">
        <f>INDEX('s(n) 표'!$AQ$5:$AQ$43,MATCH($C50,'s(n) 표'!$A$5:$A$43,0))</f>
        <v/>
      </c>
      <c r="F50" s="23">
        <f>($D50-0.375)/($C50+0.25)</f>
        <v/>
      </c>
      <c r="G50" s="23">
        <f>NORM.S.INV($F50)</f>
        <v/>
      </c>
      <c r="H50" s="24">
        <f>ROUND(MEDIAN(60,80+7*$G50/$E50,100),3)</f>
        <v/>
      </c>
      <c r="I50" s="24">
        <f>ROUND(MEDIAN(60,80+7*$G50,100),3)</f>
        <v/>
      </c>
      <c r="M50" s="24">
        <f>IFERROR(ROUND($H50,3)-ROUND(INDEX($H$8:$H$17,MATCH($D50,$D$8:$D$17,0)),3),"예제 A에 같은 순위가 없다")</f>
        <v/>
      </c>
    </row>
    <row r="51">
      <c r="A51" s="19" t="inlineStr">
        <is>
          <t>직원 D</t>
        </is>
      </c>
      <c r="B51" s="22" t="n">
        <v>78.59999999999999</v>
      </c>
      <c r="C51" s="19">
        <f>COUNT($B$48:$B$57)</f>
        <v/>
      </c>
      <c r="D51" s="19">
        <f>RANK.EQ($B51,$B$48:$B$57,1)</f>
        <v/>
      </c>
      <c r="E51" s="23">
        <f>INDEX('s(n) 표'!$AQ$5:$AQ$43,MATCH($C51,'s(n) 표'!$A$5:$A$43,0))</f>
        <v/>
      </c>
      <c r="F51" s="23">
        <f>($D51-0.375)/($C51+0.25)</f>
        <v/>
      </c>
      <c r="G51" s="23">
        <f>NORM.S.INV($F51)</f>
        <v/>
      </c>
      <c r="H51" s="24">
        <f>ROUND(MEDIAN(60,80+7*$G51/$E51,100),3)</f>
        <v/>
      </c>
      <c r="I51" s="24">
        <f>ROUND(MEDIAN(60,80+7*$G51,100),3)</f>
        <v/>
      </c>
      <c r="M51" s="24">
        <f>IFERROR(ROUND($H51,3)-ROUND(INDEX($H$8:$H$17,MATCH($D51,$D$8:$D$17,0)),3),"예제 A에 같은 순위가 없다")</f>
        <v/>
      </c>
    </row>
    <row r="52">
      <c r="A52" s="19" t="inlineStr">
        <is>
          <t>직원 E</t>
        </is>
      </c>
      <c r="B52" s="22" t="n">
        <v>78.8</v>
      </c>
      <c r="C52" s="19">
        <f>COUNT($B$48:$B$57)</f>
        <v/>
      </c>
      <c r="D52" s="19">
        <f>RANK.EQ($B52,$B$48:$B$57,1)</f>
        <v/>
      </c>
      <c r="E52" s="23">
        <f>INDEX('s(n) 표'!$AQ$5:$AQ$43,MATCH($C52,'s(n) 표'!$A$5:$A$43,0))</f>
        <v/>
      </c>
      <c r="F52" s="23">
        <f>($D52-0.375)/($C52+0.25)</f>
        <v/>
      </c>
      <c r="G52" s="23">
        <f>NORM.S.INV($F52)</f>
        <v/>
      </c>
      <c r="H52" s="24">
        <f>ROUND(MEDIAN(60,80+7*$G52/$E52,100),3)</f>
        <v/>
      </c>
      <c r="I52" s="24">
        <f>ROUND(MEDIAN(60,80+7*$G52,100),3)</f>
        <v/>
      </c>
      <c r="M52" s="24">
        <f>IFERROR(ROUND($H52,3)-ROUND(INDEX($H$8:$H$17,MATCH($D52,$D$8:$D$17,0)),3),"예제 A에 같은 순위가 없다")</f>
        <v/>
      </c>
    </row>
    <row r="53">
      <c r="A53" s="19" t="inlineStr">
        <is>
          <t>직원 F</t>
        </is>
      </c>
      <c r="B53" s="22" t="n">
        <v>79</v>
      </c>
      <c r="C53" s="19">
        <f>COUNT($B$48:$B$57)</f>
        <v/>
      </c>
      <c r="D53" s="19">
        <f>RANK.EQ($B53,$B$48:$B$57,1)</f>
        <v/>
      </c>
      <c r="E53" s="23">
        <f>INDEX('s(n) 표'!$AQ$5:$AQ$43,MATCH($C53,'s(n) 표'!$A$5:$A$43,0))</f>
        <v/>
      </c>
      <c r="F53" s="23">
        <f>($D53-0.375)/($C53+0.25)</f>
        <v/>
      </c>
      <c r="G53" s="23">
        <f>NORM.S.INV($F53)</f>
        <v/>
      </c>
      <c r="H53" s="24">
        <f>ROUND(MEDIAN(60,80+7*$G53/$E53,100),3)</f>
        <v/>
      </c>
      <c r="I53" s="24">
        <f>ROUND(MEDIAN(60,80+7*$G53,100),3)</f>
        <v/>
      </c>
      <c r="M53" s="24">
        <f>IFERROR(ROUND($H53,3)-ROUND(INDEX($H$8:$H$17,MATCH($D53,$D$8:$D$17,0)),3),"예제 A에 같은 순위가 없다")</f>
        <v/>
      </c>
    </row>
    <row r="54">
      <c r="A54" s="19" t="inlineStr">
        <is>
          <t>직원 G</t>
        </is>
      </c>
      <c r="B54" s="22" t="n">
        <v>79.2</v>
      </c>
      <c r="C54" s="19">
        <f>COUNT($B$48:$B$57)</f>
        <v/>
      </c>
      <c r="D54" s="19">
        <f>RANK.EQ($B54,$B$48:$B$57,1)</f>
        <v/>
      </c>
      <c r="E54" s="23">
        <f>INDEX('s(n) 표'!$AQ$5:$AQ$43,MATCH($C54,'s(n) 표'!$A$5:$A$43,0))</f>
        <v/>
      </c>
      <c r="F54" s="23">
        <f>($D54-0.375)/($C54+0.25)</f>
        <v/>
      </c>
      <c r="G54" s="23">
        <f>NORM.S.INV($F54)</f>
        <v/>
      </c>
      <c r="H54" s="24">
        <f>ROUND(MEDIAN(60,80+7*$G54/$E54,100),3)</f>
        <v/>
      </c>
      <c r="I54" s="24">
        <f>ROUND(MEDIAN(60,80+7*$G54,100),3)</f>
        <v/>
      </c>
      <c r="M54" s="24">
        <f>IFERROR(ROUND($H54,3)-ROUND(INDEX($H$8:$H$17,MATCH($D54,$D$8:$D$17,0)),3),"예제 A에 같은 순위가 없다")</f>
        <v/>
      </c>
    </row>
    <row r="55">
      <c r="A55" s="19" t="inlineStr">
        <is>
          <t>직원 H</t>
        </is>
      </c>
      <c r="B55" s="22" t="n">
        <v>79.40000000000001</v>
      </c>
      <c r="C55" s="19">
        <f>COUNT($B$48:$B$57)</f>
        <v/>
      </c>
      <c r="D55" s="19">
        <f>RANK.EQ($B55,$B$48:$B$57,1)</f>
        <v/>
      </c>
      <c r="E55" s="23">
        <f>INDEX('s(n) 표'!$AQ$5:$AQ$43,MATCH($C55,'s(n) 표'!$A$5:$A$43,0))</f>
        <v/>
      </c>
      <c r="F55" s="23">
        <f>($D55-0.375)/($C55+0.25)</f>
        <v/>
      </c>
      <c r="G55" s="23">
        <f>NORM.S.INV($F55)</f>
        <v/>
      </c>
      <c r="H55" s="24">
        <f>ROUND(MEDIAN(60,80+7*$G55/$E55,100),3)</f>
        <v/>
      </c>
      <c r="I55" s="24">
        <f>ROUND(MEDIAN(60,80+7*$G55,100),3)</f>
        <v/>
      </c>
      <c r="M55" s="24">
        <f>IFERROR(ROUND($H55,3)-ROUND(INDEX($H$8:$H$17,MATCH($D55,$D$8:$D$17,0)),3),"예제 A에 같은 순위가 없다")</f>
        <v/>
      </c>
    </row>
    <row r="56">
      <c r="A56" s="19" t="inlineStr">
        <is>
          <t>직원 I</t>
        </is>
      </c>
      <c r="B56" s="22" t="n">
        <v>79.59999999999999</v>
      </c>
      <c r="C56" s="19">
        <f>COUNT($B$48:$B$57)</f>
        <v/>
      </c>
      <c r="D56" s="19">
        <f>RANK.EQ($B56,$B$48:$B$57,1)</f>
        <v/>
      </c>
      <c r="E56" s="23">
        <f>INDEX('s(n) 표'!$AQ$5:$AQ$43,MATCH($C56,'s(n) 표'!$A$5:$A$43,0))</f>
        <v/>
      </c>
      <c r="F56" s="23">
        <f>($D56-0.375)/($C56+0.25)</f>
        <v/>
      </c>
      <c r="G56" s="23">
        <f>NORM.S.INV($F56)</f>
        <v/>
      </c>
      <c r="H56" s="24">
        <f>ROUND(MEDIAN(60,80+7*$G56/$E56,100),3)</f>
        <v/>
      </c>
      <c r="I56" s="24">
        <f>ROUND(MEDIAN(60,80+7*$G56,100),3)</f>
        <v/>
      </c>
      <c r="M56" s="24">
        <f>IFERROR(ROUND($H56,3)-ROUND(INDEX($H$8:$H$17,MATCH($D56,$D$8:$D$17,0)),3),"예제 A에 같은 순위가 없다")</f>
        <v/>
      </c>
    </row>
    <row r="57">
      <c r="A57" s="19" t="inlineStr">
        <is>
          <t>직원 J</t>
        </is>
      </c>
      <c r="B57" s="22" t="n">
        <v>79.8</v>
      </c>
      <c r="C57" s="19">
        <f>COUNT($B$48:$B$57)</f>
        <v/>
      </c>
      <c r="D57" s="19">
        <f>RANK.EQ($B57,$B$48:$B$57,1)</f>
        <v/>
      </c>
      <c r="E57" s="23">
        <f>INDEX('s(n) 표'!$AQ$5:$AQ$43,MATCH($C57,'s(n) 표'!$A$5:$A$43,0))</f>
        <v/>
      </c>
      <c r="F57" s="23">
        <f>($D57-0.375)/($C57+0.25)</f>
        <v/>
      </c>
      <c r="G57" s="23">
        <f>NORM.S.INV($F57)</f>
        <v/>
      </c>
      <c r="H57" s="24">
        <f>ROUND(MEDIAN(60,80+7*$G57/$E57,100),3)</f>
        <v/>
      </c>
      <c r="I57" s="24">
        <f>ROUND(MEDIAN(60,80+7*$G57,100),3)</f>
        <v/>
      </c>
      <c r="M57" s="24">
        <f>IFERROR(ROUND($H57,3)-ROUND(INDEX($H$8:$H$17,MATCH($D57,$D$8:$D$17,0)),3),"예제 A에 같은 순위가 없다")</f>
        <v/>
      </c>
    </row>
    <row r="58">
      <c r="A58" s="34" t="inlineStr">
        <is>
          <t>평균</t>
        </is>
      </c>
      <c r="B58" s="24">
        <f>ROUND(AVERAGE($B$48:$B$57),3)</f>
        <v/>
      </c>
      <c r="H58" s="24">
        <f>ROUND(AVERAGE($H$48:$H$57),3)</f>
        <v/>
      </c>
      <c r="I58" s="24">
        <f>ROUND(AVERAGE($I$48:$I$57),3)</f>
        <v/>
      </c>
    </row>
    <row r="59">
      <c r="A59" s="34" t="inlineStr">
        <is>
          <t>표준편차 STDEVP</t>
        </is>
      </c>
      <c r="B59" s="24">
        <f>ROUND(STDEVP($B$48:$B$57),3)</f>
        <v/>
      </c>
      <c r="H59" s="24">
        <f>ROUND(STDEVP($H$48:$H$57),3)</f>
        <v/>
      </c>
      <c r="I59" s="24">
        <f>ROUND(STDEVP($I$48:$I$57),3)</f>
        <v/>
      </c>
    </row>
    <row r="60">
      <c r="A60" s="34" t="inlineStr">
        <is>
          <t>부여폭 (최고−최저)</t>
        </is>
      </c>
      <c r="B60" s="24">
        <f>ROUND(MAX($B$48:$B$57)-MIN($B$48:$B$57),3)</f>
        <v/>
      </c>
      <c r="H60" s="24">
        <f>ROUND(MAX($H$48:$H$57)-MIN($H$48:$H$57),3)</f>
        <v/>
      </c>
    </row>
    <row r="61">
      <c r="A61" s="31" t="inlineStr">
        <is>
          <t>예제 A(부여폭 38점)와 예제 C(부여폭 1.8점)의 H열 보정점수가 소수점까지 같다. 이것이 [별표 9]가 하는 일이다 — 평가자가 넓게 주든 좁게 주든 결과가 같아지고, 차등이 없던 평가군에 차등이 생긴다.</t>
        </is>
      </c>
    </row>
    <row r="63">
      <c r="A63" s="2" t="inlineStr">
        <is>
          <t>예제 A와 예제 C의 보정점수 동일성 검증</t>
        </is>
      </c>
      <c r="B63" s="35">
        <f>IF(COUNTIF($M$48:$M$57,"&lt;&gt;0")=0,"PASS — 두 예제의 보정점수가 전부 일치한다 (차이 0)","FAIL — M열 확인")</f>
        <v/>
      </c>
      <c r="H63" s="34" t="inlineStr">
        <is>
          <t>차이 합계</t>
        </is>
      </c>
      <c r="I63" s="24">
        <f>IFERROR(ROUND(SUM($M$48:$M$57),3),"산출 불가 — M열 확인")</f>
        <v/>
      </c>
    </row>
  </sheetData>
  <mergeCells count="6">
    <mergeCell ref="A61:K61"/>
    <mergeCell ref="A21:K21"/>
    <mergeCell ref="A46:I46"/>
    <mergeCell ref="A33:K33"/>
    <mergeCell ref="A6:I6"/>
    <mergeCell ref="A24:I24"/>
  </mergeCells>
  <conditionalFormatting sqref="L18">
    <cfRule type="cellIs" priority="1" operator="containsText" dxfId="0">
      <formula>NOT(ISERROR(SEARCH("PASS",L18)))</formula>
    </cfRule>
  </conditionalFormatting>
  <conditionalFormatting sqref="I41">
    <cfRule type="cellIs" priority="2" operator="containsText" dxfId="0">
      <formula>NOT(ISERROR(SEARCH("PASS",I41)))</formula>
    </cfRule>
  </conditionalFormatting>
  <conditionalFormatting sqref="B63">
    <cfRule type="cellIs" priority="3" operator="containsText" dxfId="0">
      <formula>NOT(ISERROR(SEARCH("PASS",B63)))</formula>
    </cfRule>
    <cfRule type="cellIs" priority="4" operator="containsText" dxfId="1">
      <formula>NOT(ISERROR(SEARCH("FAIL",B63)))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32" customWidth="1" min="3" max="3"/>
    <col width="84" customWidth="1" min="4" max="4"/>
    <col width="26" customWidth="1" min="5" max="5"/>
    <col width="8" customWidth="1" min="6" max="6"/>
  </cols>
  <sheetData>
    <row r="1">
      <c r="A1" s="14" t="inlineStr">
        <is>
          <t>⑦ MIS 요구사항 — 내부경영정보시스템 근무평정 모듈 기능 명세(요청안)</t>
        </is>
      </c>
    </row>
    <row r="2">
      <c r="A2" s="15" t="inlineStr">
        <is>
          <t>이 계산서의 계산을 시스템에 넣기 위한 기능 요건이다. 우선순위 ★는 규정 시행에 반드시 필요한 항목이다.</t>
        </is>
      </c>
    </row>
    <row r="4">
      <c r="A4" s="10" t="inlineStr">
        <is>
          <t>구분</t>
        </is>
      </c>
      <c r="B4" s="10" t="inlineStr">
        <is>
          <t>No</t>
        </is>
      </c>
      <c r="C4" s="10" t="inlineStr">
        <is>
          <t>요구 기능</t>
        </is>
      </c>
      <c r="D4" s="10" t="inlineStr">
        <is>
          <t>상세 요건</t>
        </is>
      </c>
      <c r="E4" s="10" t="inlineStr">
        <is>
          <t>근거</t>
        </is>
      </c>
      <c r="F4" s="10" t="inlineStr">
        <is>
          <t>우선순위</t>
        </is>
      </c>
    </row>
    <row r="5" ht="46" customHeight="1">
      <c r="A5" s="11" t="inlineStr">
        <is>
          <t>화면</t>
        </is>
      </c>
      <c r="B5" s="19" t="n">
        <v>1</v>
      </c>
      <c r="C5" s="36" t="inlineStr">
        <is>
          <t>평가자 점수 입력 화면</t>
        </is>
      </c>
      <c r="D5" s="12" t="inlineStr">
        <is>
          <t>피평가자별 원점수(60~100)를 입력한다. 평가군 인원 n과 입력 진행률을 함께 표시한다.</t>
        </is>
      </c>
      <c r="E5" s="37" t="inlineStr">
        <is>
          <t>규칙 제9조① · [별표 1]</t>
        </is>
      </c>
      <c r="F5" s="19" t="inlineStr">
        <is>
          <t>★</t>
        </is>
      </c>
    </row>
    <row r="6" ht="46" customHeight="1">
      <c r="A6" s="11" t="inlineStr">
        <is>
          <t>화면</t>
        </is>
      </c>
      <c r="B6" s="19" t="n">
        <v>2</v>
      </c>
      <c r="C6" s="36" t="inlineStr">
        <is>
          <t>동점 입력 차단</t>
        </is>
      </c>
      <c r="D6" s="12" t="inlineStr">
        <is>
          <t>같은 평가군 내에서 이미 사용된 점수를 다시 입력하면 저장을 차단하고, 사용 가능한 점수를 안내한다. 경고가 아니라 저장 차단이어야 한다 — 동점이 있으면 순위가 중복되어 [별표 9] 제2호·제3호가 성립하지 않는다.</t>
        </is>
      </c>
      <c r="E6" s="37" t="inlineStr">
        <is>
          <t>개정 2 (제9조⑥) · [별표 9] 제2호</t>
        </is>
      </c>
      <c r="F6" s="19" t="inlineStr">
        <is>
          <t>★</t>
        </is>
      </c>
    </row>
    <row r="7" ht="46" customHeight="1">
      <c r="A7" s="11" t="inlineStr">
        <is>
          <t>화면</t>
        </is>
      </c>
      <c r="B7" s="19" t="n">
        <v>3</v>
      </c>
      <c r="C7" s="36" t="inlineStr">
        <is>
          <t>보정 결과 비공개</t>
        </is>
      </c>
      <c r="D7" s="12" t="inlineStr">
        <is>
          <t>평가자 화면에는 원점수만 표시한다. 보정점수·보정 후 순위를 평가자에게 미리 보여주지 아니한다.</t>
        </is>
      </c>
      <c r="E7" s="37" t="inlineStr">
        <is>
          <t>〈08 세부지침〉 §4-2</t>
        </is>
      </c>
      <c r="F7" s="19" t="inlineStr">
        <is>
          <t>★</t>
        </is>
      </c>
    </row>
    <row r="8" ht="46" customHeight="1">
      <c r="A8" s="11" t="inlineStr">
        <is>
          <t>화면</t>
        </is>
      </c>
      <c r="B8" s="19" t="n">
        <v>4</v>
      </c>
      <c r="C8" s="36" t="inlineStr">
        <is>
          <t>제7호 조정 화면</t>
        </is>
      </c>
      <c r="D8" s="12" t="inlineStr">
        <is>
          <t>1차 평가자에게 평가군 단위로 보정점수 목록과 조정 입력란(±5점)을 제시하고, 조정 합계를 실시간으로 표시한다.</t>
        </is>
      </c>
      <c r="E8" s="37" t="inlineStr">
        <is>
          <t>[별표 9] 제7호</t>
        </is>
      </c>
      <c r="F8" s="19" t="inlineStr">
        <is>
          <t>★</t>
        </is>
      </c>
    </row>
    <row r="9" ht="46" customHeight="1">
      <c r="A9" s="11" t="inlineStr">
        <is>
          <t>입력</t>
        </is>
      </c>
      <c r="B9" s="19" t="n">
        <v>5</v>
      </c>
      <c r="C9" s="36" t="inlineStr">
        <is>
          <t>조정 합계 0 저장 차단</t>
        </is>
      </c>
      <c r="D9" s="12" t="inlineStr">
        <is>
          <t>평가군 내 조정점수 합계가 0이 아니면 저장을 차단한다. 잔차가 남은 경우 제7호 가·나·다 순서의 배분 결과를 제시하고, 배분 후에도 남는 잔차는 별도 항목으로 기록한다.</t>
        </is>
      </c>
      <c r="E9" s="37" t="inlineStr">
        <is>
          <t>[별표 9] 제7호 가·나·다</t>
        </is>
      </c>
      <c r="F9" s="19" t="inlineStr">
        <is>
          <t>★</t>
        </is>
      </c>
    </row>
    <row r="10" ht="46" customHeight="1">
      <c r="A10" s="11" t="inlineStr">
        <is>
          <t>입력</t>
        </is>
      </c>
      <c r="B10" s="19" t="n">
        <v>6</v>
      </c>
      <c r="C10" s="36" t="inlineStr">
        <is>
          <t>조정 사유 필수 입력</t>
        </is>
      </c>
      <c r="D10" s="12" t="inlineStr">
        <is>
          <t>조정량이 0이 아닌 피평가자는 사유 입력 없이 저장할 수 없다. 사유는 평가표에 함께 저장한다.</t>
        </is>
      </c>
      <c r="E10" s="37" t="inlineStr">
        <is>
          <t>[별표 9] 제7호 후단</t>
        </is>
      </c>
      <c r="F10" s="19" t="inlineStr">
        <is>
          <t>★</t>
        </is>
      </c>
    </row>
    <row r="11" ht="46" customHeight="1">
      <c r="A11" s="11" t="inlineStr">
        <is>
          <t>입력</t>
        </is>
      </c>
      <c r="B11" s="19" t="n">
        <v>7</v>
      </c>
      <c r="C11" s="36" t="inlineStr">
        <is>
          <t>±5점 범위 검증</t>
        </is>
      </c>
      <c r="D11" s="12" t="inlineStr">
        <is>
          <t>개별 조정량이 −5 ~ +5 를 벗어나면 입력을 거부한다.</t>
        </is>
      </c>
      <c r="E11" s="37" t="inlineStr">
        <is>
          <t>[별표 9] 제7호</t>
        </is>
      </c>
      <c r="F11" s="19" t="inlineStr">
        <is>
          <t>★</t>
        </is>
      </c>
    </row>
    <row r="12" ht="46" customHeight="1">
      <c r="A12" s="11" t="inlineStr">
        <is>
          <t>입력</t>
        </is>
      </c>
      <c r="B12" s="19" t="n">
        <v>8</v>
      </c>
      <c r="C12" s="36" t="inlineStr">
        <is>
          <t>다면평가 평가자 지정 이력</t>
        </is>
      </c>
      <c r="D12" s="12" t="inlineStr">
        <is>
          <t>피평가자 추천(5인 이상) → 부서장 확인 → 인사담당부서장 지정의 3단계 이력을 각 단계 일시와 처리자와 함께 보관한다. 1차 평가자는 다면평가자로 지정할 수 없도록 시스템이 차단한다.</t>
        </is>
      </c>
      <c r="E12" s="37" t="inlineStr">
        <is>
          <t>개정 15 (제22조①②③)</t>
        </is>
      </c>
      <c r="F12" s="19" t="inlineStr">
        <is>
          <t>★</t>
        </is>
      </c>
    </row>
    <row r="13" ht="46" customHeight="1">
      <c r="A13" s="11" t="inlineStr">
        <is>
          <t>계산</t>
        </is>
      </c>
      <c r="B13" s="19" t="n">
        <v>9</v>
      </c>
      <c r="C13" s="36" t="inlineStr">
        <is>
          <t>보정 일괄 실행</t>
        </is>
      </c>
      <c r="D13" s="12" t="inlineStr">
        <is>
          <t>평가 마감 후 인사담당부서만 보정을 실행한다. 평가자별·평가구분별·직급군별로 평가군을 자동 구성하고 [별표 9] 제3호를 적용한다. 실행 시점·실행자를 로그로 남긴다.</t>
        </is>
      </c>
      <c r="E13" s="37" t="inlineStr">
        <is>
          <t>제9조④ · 〈08 세부지침〉 §4-2</t>
        </is>
      </c>
      <c r="F13" s="19" t="inlineStr">
        <is>
          <t>★</t>
        </is>
      </c>
    </row>
    <row r="14" ht="46" customHeight="1">
      <c r="A14" s="11" t="inlineStr">
        <is>
          <t>계산</t>
        </is>
      </c>
      <c r="B14" s="19" t="n">
        <v>10</v>
      </c>
      <c r="C14" s="36" t="inlineStr">
        <is>
          <t>s(n) 내장</t>
        </is>
      </c>
      <c r="D14" s="12" t="inlineStr">
        <is>
          <t>n = 2~40 의 s(n)을 계산식(정규 순서통계량의 표준편차)으로 내장하고 n ≥ 17 은 1을 적용한다. 상수표를 하드코딩하지 아니한다. 제3호 후단이 개정되어 s(n) 적용 구간이 확대되는 경우 설정 변경만으로 대응할 수 있게 설계한다.</t>
        </is>
      </c>
      <c r="E14" s="37" t="inlineStr">
        <is>
          <t>[별표 9] 제3호</t>
        </is>
      </c>
      <c r="F14" s="19" t="inlineStr">
        <is>
          <t>★</t>
        </is>
      </c>
    </row>
    <row r="15" ht="46" customHeight="1">
      <c r="A15" s="11" t="inlineStr">
        <is>
          <t>계산</t>
        </is>
      </c>
      <c r="B15" s="19" t="n">
        <v>11</v>
      </c>
      <c r="C15" s="36" t="inlineStr">
        <is>
          <t>제5호 자동 판정</t>
        </is>
      </c>
      <c r="D15" s="12" t="inlineStr">
        <is>
          <t>평가군 인원이 6명 미만이면 1차 보정을 건너뛰고 2차 보정점수를 100% 반영한다. 2차 평가군도 6명 미만이면 80점을 부여한다. 적용 평가군 수를 집계한다.</t>
        </is>
      </c>
      <c r="E15" s="37" t="inlineStr">
        <is>
          <t>[별표 9] 제5호 · 제9조⑦3호</t>
        </is>
      </c>
      <c r="F15" s="19" t="inlineStr">
        <is>
          <t>★</t>
        </is>
      </c>
    </row>
    <row r="16" ht="46" customHeight="1">
      <c r="A16" s="11" t="inlineStr">
        <is>
          <t>계산</t>
        </is>
      </c>
      <c r="B16" s="19" t="n">
        <v>12</v>
      </c>
      <c r="C16" s="36" t="inlineStr">
        <is>
          <t>소수점 셋째자리 반올림</t>
        </is>
      </c>
      <c r="D16" s="12" t="inlineStr">
        <is>
          <t>보정점수·조정 후 점수·종합점수를 소수점 셋째자리에서 반올림하여 저장한다. 표시 단계가 아니라 저장 단계에서 확정한다.</t>
        </is>
      </c>
      <c r="E16" s="37" t="inlineStr">
        <is>
          <t>[별표 9] 제3호</t>
        </is>
      </c>
      <c r="F16" s="19" t="inlineStr">
        <is>
          <t>★</t>
        </is>
      </c>
    </row>
    <row r="17" ht="46" customHeight="1">
      <c r="A17" s="11" t="inlineStr">
        <is>
          <t>계산</t>
        </is>
      </c>
      <c r="B17" s="19" t="n">
        <v>13</v>
      </c>
      <c r="C17" s="36" t="inlineStr">
        <is>
          <t>절단 처리</t>
        </is>
      </c>
      <c r="D17" s="12" t="inlineStr">
        <is>
          <t>60점 미만은 60점, 100점 초과는 100점으로 절단하고 절단 발생 건수를 집계한다.</t>
        </is>
      </c>
      <c r="E17" s="37" t="inlineStr">
        <is>
          <t>[별표 9] 제3호</t>
        </is>
      </c>
      <c r="F17" s="19" t="inlineStr">
        <is>
          <t>○</t>
        </is>
      </c>
    </row>
    <row r="18" ht="46" customHeight="1">
      <c r="A18" s="11" t="inlineStr">
        <is>
          <t>계산</t>
        </is>
      </c>
      <c r="B18" s="19" t="n">
        <v>14</v>
      </c>
      <c r="C18" s="36" t="inlineStr">
        <is>
          <t>다면평가 보정</t>
        </is>
      </c>
      <c r="D18" s="12" t="inlineStr">
        <is>
          <t>유효 응답 6인 이상이면 최고점·최저점을 각각 하나씩 제외한 뒤 기관 전체를 하나의 평가군으로 하여 제3호를 적용한다. 유효 응답 3인 미만은 80점으로 하고 업적·역량 배점을 그 비율만큼 가산한다.</t>
        </is>
      </c>
      <c r="E18" s="37" t="inlineStr">
        <is>
          <t>개정 15 (제22조⑤⑦)</t>
        </is>
      </c>
      <c r="F18" s="19" t="inlineStr">
        <is>
          <t>★</t>
        </is>
      </c>
    </row>
    <row r="19" ht="46" customHeight="1">
      <c r="A19" s="11" t="inlineStr">
        <is>
          <t>계산</t>
        </is>
      </c>
      <c r="B19" s="19" t="n">
        <v>15</v>
      </c>
      <c r="C19" s="36" t="inlineStr">
        <is>
          <t>등급 배정 (직급별·최대잔여법)</t>
        </is>
      </c>
      <c r="D19" s="12" t="inlineStr">
        <is>
          <t>직급별 전사 단위로 S20·A30·B40·C10%를 최대잔여법(정수부 우선 배정 → 소수부 큰 순서로 잔여 배정)으로 배정한다. 부서 단위 배정을 허용하지 아니한다. 10명 미만은 [별표 10] 표를 적용한다.</t>
        </is>
      </c>
      <c r="E19" s="37" t="inlineStr">
        <is>
          <t>규칙 제26조①③ · [별표 10]</t>
        </is>
      </c>
      <c r="F19" s="19" t="inlineStr">
        <is>
          <t>★</t>
        </is>
      </c>
    </row>
    <row r="20" ht="46" customHeight="1">
      <c r="A20" s="11" t="inlineStr">
        <is>
          <t>계산</t>
        </is>
      </c>
      <c r="B20" s="19" t="n">
        <v>16</v>
      </c>
      <c r="C20" s="36" t="inlineStr">
        <is>
          <t>평정점 산출</t>
        </is>
      </c>
      <c r="D20" s="12" t="inlineStr">
        <is>
          <t>등급 구간(S100·A90·B80·C70) 안에서 「구간 최고점 − (10 ÷ 등급별 인원) × (등급 내 순위 − 1)」로 산출한다.</t>
        </is>
      </c>
      <c r="E20" s="37" t="inlineStr">
        <is>
          <t>[별표 7] · 제27조④</t>
        </is>
      </c>
      <c r="F20" s="19" t="inlineStr">
        <is>
          <t>★</t>
        </is>
      </c>
    </row>
    <row r="21" ht="46" customHeight="1">
      <c r="A21" s="11" t="inlineStr">
        <is>
          <t>계산</t>
        </is>
      </c>
      <c r="B21" s="19" t="n">
        <v>17</v>
      </c>
      <c r="C21" s="36" t="inlineStr">
        <is>
          <t>배점 전환</t>
        </is>
      </c>
      <c r="D21" s="12" t="inlineStr">
        <is>
          <t>업적·역량 : 다면 : 공통 배점을 설정값으로 관리한다(개정 14 채택 시 75:20:5, 현행 85:10:5). 부서장은 1차:2차 = 50:50 및 상향평가를 적용한다.</t>
        </is>
      </c>
      <c r="E21" s="37" t="inlineStr">
        <is>
          <t>제9조② · 개정 14 · [별표 2]</t>
        </is>
      </c>
      <c r="F21" s="19" t="inlineStr">
        <is>
          <t>○</t>
        </is>
      </c>
    </row>
    <row r="22" ht="46" customHeight="1">
      <c r="A22" s="11" t="inlineStr">
        <is>
          <t>검증</t>
        </is>
      </c>
      <c r="B22" s="19" t="n">
        <v>18</v>
      </c>
      <c r="C22" s="36" t="inlineStr">
        <is>
          <t>평가군별 보정 전·후 평균·표준편차</t>
        </is>
      </c>
      <c r="D22" s="12" t="inlineStr">
        <is>
          <t>평가군별로 보정 전·후의 평균과 표준편차를 자동 산출한다. 보정 후 평균 80.00 · 표준편차 7.00 을 만족하지 않으면 오류로 표시한다.</t>
        </is>
      </c>
      <c r="E22" s="37" t="inlineStr">
        <is>
          <t>제9조⑥1호 (보고 항목)</t>
        </is>
      </c>
      <c r="F22" s="19" t="inlineStr">
        <is>
          <t>★</t>
        </is>
      </c>
    </row>
    <row r="23" ht="46" customHeight="1">
      <c r="A23" s="11" t="inlineStr">
        <is>
          <t>검증</t>
        </is>
      </c>
      <c r="B23" s="19" t="n">
        <v>19</v>
      </c>
      <c r="C23" s="36" t="inlineStr">
        <is>
          <t>1차·2차 평가자 간 순위 일치도 (스피어만)</t>
        </is>
      </c>
      <c r="D23" s="12" t="inlineStr">
        <is>
          <t>같은 피평가자 집단에 대한 1차 평가자 순위와 2차 평가자 순위의 스피어만 순위상관을 평가군별·직급별로 자동 산출한다.</t>
        </is>
      </c>
      <c r="E23" s="37" t="inlineStr">
        <is>
          <t>제9조⑥2호</t>
        </is>
      </c>
      <c r="F23" s="19" t="inlineStr">
        <is>
          <t>★</t>
        </is>
      </c>
    </row>
    <row r="24" ht="46" customHeight="1">
      <c r="A24" s="11" t="inlineStr">
        <is>
          <t>검증</t>
        </is>
      </c>
      <c r="B24" s="19" t="n">
        <v>20</v>
      </c>
      <c r="C24" s="36" t="inlineStr">
        <is>
          <t>직급별 순위 변동 건수</t>
        </is>
      </c>
      <c r="D24" s="12" t="inlineStr">
        <is>
          <t>보정 전 종합점수 순위와 보정 후 순위를 비교해 직급별 변동 건수를 산출한다.</t>
        </is>
      </c>
      <c r="E24" s="37" t="inlineStr">
        <is>
          <t>제9조⑦2호</t>
        </is>
      </c>
      <c r="F24" s="19" t="inlineStr">
        <is>
          <t>★</t>
        </is>
      </c>
    </row>
    <row r="25" ht="46" customHeight="1">
      <c r="A25" s="11" t="inlineStr">
        <is>
          <t>검증</t>
        </is>
      </c>
      <c r="B25" s="19" t="n">
        <v>21</v>
      </c>
      <c r="C25" s="36" t="inlineStr">
        <is>
          <t>부서 내 순위 보존 확인</t>
        </is>
      </c>
      <c r="D25" s="12" t="inlineStr">
        <is>
          <t>평가군별로 원점수 순위와 보정점수 순위가 일치하는지 전건 확인하고 불일치 건을 오류로 표시한다(동점 입력의 사후 탐지).</t>
        </is>
      </c>
      <c r="E25" s="37" t="inlineStr">
        <is>
          <t>[별표 9] 제2호·제3호</t>
        </is>
      </c>
      <c r="F25" s="19" t="inlineStr">
        <is>
          <t>○</t>
        </is>
      </c>
    </row>
    <row r="26" ht="46" customHeight="1">
      <c r="A26" s="11" t="inlineStr">
        <is>
          <t>검증</t>
        </is>
      </c>
      <c r="B26" s="19" t="n">
        <v>22</v>
      </c>
      <c r="C26" s="36" t="inlineStr">
        <is>
          <t>제6호 병산</t>
        </is>
      </c>
      <c r="D26" s="12" t="inlineStr">
        <is>
          <t>시행 첫해에는 제3호와 평균·표준편차 일치법을 함께 산출해 비교표를 출력한다.</t>
        </is>
      </c>
      <c r="E26" s="37" t="inlineStr">
        <is>
          <t>[별표 9] 제6호</t>
        </is>
      </c>
      <c r="F26" s="19" t="inlineStr">
        <is>
          <t>○</t>
        </is>
      </c>
    </row>
    <row r="27" ht="46" customHeight="1">
      <c r="A27" s="11" t="inlineStr">
        <is>
          <t>출력</t>
        </is>
      </c>
      <c r="B27" s="19" t="n">
        <v>23</v>
      </c>
      <c r="C27" s="36" t="inlineStr">
        <is>
          <t>보정 전·후 점수 동시 보관</t>
        </is>
      </c>
      <c r="D27" s="12" t="inlineStr">
        <is>
          <t>원점수 · 보정점수 · 조정량 · 조정 후 점수 · 종합점수 · 평정점을 각각 별도 항목으로 영구 보관한다. 덮어쓰지 아니한다.</t>
        </is>
      </c>
      <c r="E27" s="37" t="inlineStr">
        <is>
          <t>제28조① (공개 대상) · [별표 9]</t>
        </is>
      </c>
      <c r="F27" s="19" t="inlineStr">
        <is>
          <t>★</t>
        </is>
      </c>
    </row>
    <row r="28" ht="46" customHeight="1">
      <c r="A28" s="11" t="inlineStr">
        <is>
          <t>출력</t>
        </is>
      </c>
      <c r="B28" s="19" t="n">
        <v>24</v>
      </c>
      <c r="C28" s="36" t="inlineStr">
        <is>
          <t>본인 공개 화면</t>
        </is>
      </c>
      <c r="D28" s="12" t="inlineStr">
        <is>
          <t>피평가자에게 보정 전·후의 점수와 평정점을 공개한다. 1·2차 평가자별 점수와 직급 내 순위는 공개하지 아니한다.</t>
        </is>
      </c>
      <c r="E28" s="37" t="inlineStr">
        <is>
          <t>제28조①</t>
        </is>
      </c>
      <c r="F28" s="19" t="inlineStr">
        <is>
          <t>★</t>
        </is>
      </c>
    </row>
    <row r="29" ht="46" customHeight="1">
      <c r="A29" s="11" t="inlineStr">
        <is>
          <t>출력</t>
        </is>
      </c>
      <c r="B29" s="19" t="n">
        <v>25</v>
      </c>
      <c r="C29" s="36" t="inlineStr">
        <is>
          <t>노사협의회 보고서 자동 생성</t>
        </is>
      </c>
      <c r="D29" s="12" t="inlineStr">
        <is>
          <t>제9조⑥·⑦의 보고 항목(평가군별 보정 전·후 평균·표준편차, 직급별 순위 변동 건수, 제5호 적용 평가군 수, 다면평가 평가자별 부여점수 분포)을 한 장으로 출력한다.</t>
        </is>
      </c>
      <c r="E29" s="37" t="inlineStr">
        <is>
          <t>제9조⑥⑦ · 제22조⑧</t>
        </is>
      </c>
      <c r="F29" s="19" t="inlineStr">
        <is>
          <t>★</t>
        </is>
      </c>
    </row>
    <row r="30" ht="46" customHeight="1">
      <c r="A30" s="11" t="inlineStr">
        <is>
          <t>출력</t>
        </is>
      </c>
      <c r="B30" s="19" t="n">
        <v>26</v>
      </c>
      <c r="C30" s="36" t="inlineStr">
        <is>
          <t>이의신청 근거 자료</t>
        </is>
      </c>
      <c r="D30" s="12" t="inlineStr">
        <is>
          <t>본인 요청 시 자기 평가군의 인원 n, 자기 순위 r, 적용 s(n), 계산 과정을 제시한다.</t>
        </is>
      </c>
      <c r="E30" s="37" t="inlineStr">
        <is>
          <t>제29조 · [별표 9] 제3호</t>
        </is>
      </c>
      <c r="F30" s="19" t="inlineStr">
        <is>
          <t>○</t>
        </is>
      </c>
    </row>
    <row r="31" ht="46" customHeight="1">
      <c r="A31" s="11" t="inlineStr">
        <is>
          <t>권한</t>
        </is>
      </c>
      <c r="B31" s="19" t="n">
        <v>27</v>
      </c>
      <c r="C31" s="36" t="inlineStr">
        <is>
          <t>역할 분리</t>
        </is>
      </c>
      <c r="D31" s="12" t="inlineStr">
        <is>
          <t>평가자(원점수 입력) · 1차 평가자(제7호 조정) · 인사담당부서(보정 실행·등급 배정) · 감사(열람) 권한을 분리한다. 인사담당부서는 원점수를 수정할 수 없다.</t>
        </is>
      </c>
      <c r="E31" s="37" t="inlineStr">
        <is>
          <t>제9조④ · 제28조</t>
        </is>
      </c>
      <c r="F31" s="19" t="inlineStr">
        <is>
          <t>★</t>
        </is>
      </c>
    </row>
    <row r="32" ht="46" customHeight="1">
      <c r="A32" s="11" t="inlineStr">
        <is>
          <t>권한</t>
        </is>
      </c>
      <c r="B32" s="19" t="n">
        <v>28</v>
      </c>
      <c r="C32" s="36" t="inlineStr">
        <is>
          <t>변경 이력</t>
        </is>
      </c>
      <c r="D32" s="12" t="inlineStr">
        <is>
          <t>모든 점수 항목의 변경에 대해 변경 전·후 값, 변경자, 변경 일시, 사유를 남긴다.</t>
        </is>
      </c>
      <c r="E32" s="37" t="inlineStr">
        <is>
          <t>제28조 · 〈08 세부지침〉 §4-5</t>
        </is>
      </c>
      <c r="F32" s="19" t="inlineStr">
        <is>
          <t>★</t>
        </is>
      </c>
    </row>
    <row r="33" ht="46" customHeight="1">
      <c r="A33" s="11" t="inlineStr">
        <is>
          <t>권한</t>
        </is>
      </c>
      <c r="B33" s="19" t="n">
        <v>29</v>
      </c>
      <c r="C33" s="36" t="inlineStr">
        <is>
          <t>다면평가 익명성</t>
        </is>
      </c>
      <c r="D33" s="12" t="inlineStr">
        <is>
          <t>다면평가 평가자 명단과 개별 부여점수는 인사담당부서와 감사 외에 조회할 수 없도록 한다. 분포 집계는 익명으로만 출력한다.</t>
        </is>
      </c>
      <c r="E33" s="37" t="inlineStr">
        <is>
          <t>개정 15 (제22조④⑧)</t>
        </is>
      </c>
      <c r="F33" s="19" t="inlineStr">
        <is>
          <t>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34" customWidth="1" min="3" max="3"/>
    <col width="34" customWidth="1" min="4" max="4"/>
  </cols>
  <sheetData>
    <row r="1">
      <c r="A1" s="14" t="inlineStr">
        <is>
          <t>⑧ 근거 조문 — 이 계산서의 각 계산이 개정안의 어느 조문에 대응하는가</t>
        </is>
      </c>
    </row>
    <row r="2">
      <c r="A2" s="15" t="inlineStr">
        <is>
          <t>정본은 docs/amendments.md 이다. 이 표는 대응관계만 정리한 것이다.</t>
        </is>
      </c>
    </row>
    <row r="4">
      <c r="A4" s="10" t="inlineStr">
        <is>
          <t>시트 · 항목</t>
        </is>
      </c>
      <c r="B4" s="10" t="inlineStr">
        <is>
          <t>계산 내용</t>
        </is>
      </c>
      <c r="C4" s="10" t="inlineStr">
        <is>
          <t>근거 조문</t>
        </is>
      </c>
      <c r="D4" s="10" t="inlineStr">
        <is>
          <t>비고</t>
        </is>
      </c>
    </row>
    <row r="5" ht="40" customHeight="1">
      <c r="A5" s="36" t="inlineStr">
        <is>
          <t>② 평가군 계산 A~D열</t>
        </is>
      </c>
      <c r="B5" s="12" t="inlineStr">
        <is>
          <t>평가자 · 평가구분 · 직급군으로 평가군을 구성한다. 1차와 2차를 각각 별도로 보정한다.</t>
        </is>
      </c>
      <c r="C5" s="12" t="inlineStr">
        <is>
          <t>[별표 9] 제1호</t>
        </is>
      </c>
      <c r="D5" s="37" t="inlineStr">
        <is>
          <t>1차·2차 반영비율은 [별표 2]</t>
        </is>
      </c>
    </row>
    <row r="6" ht="40" customHeight="1">
      <c r="A6" s="36" t="inlineStr">
        <is>
          <t>② H열 순위 r</t>
        </is>
      </c>
      <c r="B6" s="12" t="inlineStr">
        <is>
          <t>평가군 내에서 낮은 점수부터 1위를 부여한다(최저점자 1위 · 최고점자 n위).</t>
        </is>
      </c>
      <c r="C6" s="12" t="inlineStr">
        <is>
          <t>[별표 9] 제2호</t>
        </is>
      </c>
      <c r="D6" s="37" t="inlineStr">
        <is>
          <t>RANK.EQ(…,1) 오름차순</t>
        </is>
      </c>
    </row>
    <row r="7" ht="40" customHeight="1">
      <c r="A7" s="36" t="inlineStr">
        <is>
          <t>② Q열 동점 경고</t>
        </is>
      </c>
      <c r="B7" s="12" t="inlineStr">
        <is>
          <t>동일 평가군 내 동점 입력을 탐지한다.</t>
        </is>
      </c>
      <c r="C7" s="12" t="inlineStr">
        <is>
          <t>개정 2 (제9조⑥) · [별표 9] 제2호</t>
        </is>
      </c>
      <c r="D7" s="37" t="inlineStr">
        <is>
          <t>동점은 순위 중복을 낳아 산식을 깨뜨린다</t>
        </is>
      </c>
    </row>
    <row r="8" ht="40" customHeight="1">
      <c r="A8" s="36" t="inlineStr">
        <is>
          <t>② I열 s(n)</t>
        </is>
      </c>
      <c r="B8" s="12" t="inlineStr">
        <is>
          <t>인원 n일 때 z값들의 표준편차. 17명 이상은 1로 본다.</t>
        </is>
      </c>
      <c r="C8" s="12" t="inlineStr">
        <is>
          <t>[별표 9] 제3호</t>
        </is>
      </c>
      <c r="D8" s="37" t="inlineStr">
        <is>
          <t>④ s(n) 표에서 계산</t>
        </is>
      </c>
    </row>
    <row r="9" ht="40" customHeight="1">
      <c r="A9" s="36" t="inlineStr">
        <is>
          <t>② J~L열 보정점수</t>
        </is>
      </c>
      <c r="B9" s="12" t="inlineStr">
        <is>
          <t>z = Φ⁻¹((r−0.375)/(n+0.25)) · 보정점수 = 80 + 7 × z ÷ s(n)</t>
        </is>
      </c>
      <c r="C9" s="12" t="inlineStr">
        <is>
          <t>[별표 9] 제3호</t>
        </is>
      </c>
      <c r="D9" s="37" t="inlineStr">
        <is>
          <t>Blom 정규 순서통계량</t>
        </is>
      </c>
    </row>
    <row r="10" ht="40" customHeight="1">
      <c r="A10" s="36" t="inlineStr">
        <is>
          <t>② L열 절단·반올림</t>
        </is>
      </c>
      <c r="B10" s="12" t="inlineStr">
        <is>
          <t>60점 미만은 60점, 100점 초과는 100점. 소수점 셋째자리 반올림.</t>
        </is>
      </c>
      <c r="C10" s="12" t="inlineStr">
        <is>
          <t>[별표 9] 제3호</t>
        </is>
      </c>
      <c r="D10" s="37" t="inlineStr">
        <is>
          <t>MEDIAN(60,x,100) · ROUND(x,3)</t>
        </is>
      </c>
    </row>
    <row r="11" ht="40" customHeight="1">
      <c r="A11" s="36" t="inlineStr">
        <is>
          <t>기준값 80 · 7</t>
        </is>
      </c>
      <c r="B11" s="12" t="inlineStr">
        <is>
          <t>80은 [별표 7] 평정점 구간(60~100)의 중앙값, 7은 정수로서 검산 재현성이 보장되는 값.</t>
        </is>
      </c>
      <c r="C11" s="12" t="inlineStr">
        <is>
          <t>[별표 9] 제4호</t>
        </is>
      </c>
      <c r="D11" s="37" t="inlineStr">
        <is>
          <t>노사 협의로 달리 정할 수 있다</t>
        </is>
      </c>
    </row>
    <row r="12" ht="40" customHeight="1">
      <c r="A12" s="36" t="inlineStr">
        <is>
          <t>② M열 제5호</t>
        </is>
      </c>
      <c r="B12" s="12" t="inlineStr">
        <is>
          <t>인원 6명 미만이면 제3호 보정을 실시하지 아니하고 2차 보정점수를 100% 반영한다. 2차도 6명 미만이면 80점.</t>
        </is>
      </c>
      <c r="C12" s="12" t="inlineStr">
        <is>
          <t>[별표 9] 제5호</t>
        </is>
      </c>
      <c r="D12" s="37" t="inlineStr">
        <is>
          <t>적용 평가군 수는 제9조⑦3호 보고 항목</t>
        </is>
      </c>
    </row>
    <row r="13" ht="40" customHeight="1">
      <c r="A13" s="36" t="inlineStr">
        <is>
          <t>② N~P열 제7호</t>
        </is>
      </c>
      <c r="B13" s="12" t="inlineStr">
        <is>
          <t>1차 평가자가 ±5점 범위에서 조정한다. 평가군 내 합계는 0. 조정 사유를 기재한다.</t>
        </is>
      </c>
      <c r="C13" s="12" t="inlineStr">
        <is>
          <t>[별표 9] 제7호</t>
        </is>
      </c>
      <c r="D13" s="37" t="inlineStr">
        <is>
          <t>잔차 배분 순서는 같은 호 가·나·다</t>
        </is>
      </c>
    </row>
    <row r="14" ht="40" customHeight="1">
      <c r="A14" s="36" t="inlineStr">
        <is>
          <t>② R~S열 순위 보존</t>
        </is>
      </c>
      <c r="B14" s="12" t="inlineStr">
        <is>
          <t>원점수 순위와 보정점수 순위가 일치하는지 확인한다.</t>
        </is>
      </c>
      <c r="C14" s="12" t="inlineStr">
        <is>
          <t>[별표 9] 제2호·제3호</t>
        </is>
      </c>
      <c r="D14" s="37" t="inlineStr">
        <is>
          <t>단조변환이므로 정의상 100% 보존</t>
        </is>
      </c>
    </row>
    <row r="15" ht="40" customHeight="1">
      <c r="A15" s="36" t="inlineStr">
        <is>
          <t>③ H~J열 업적·역량</t>
        </is>
      </c>
      <c r="B15" s="12" t="inlineStr">
        <is>
          <t>1차 60% + 2차 40%. 부서장(4급 이상)은 50:50.</t>
        </is>
      </c>
      <c r="C15" s="12" t="inlineStr">
        <is>
          <t>[별표 2] · 규칙 제9조②</t>
        </is>
      </c>
      <c r="D15" s="37" t="inlineStr">
        <is>
          <t>제5호 적용 시 2차 100%</t>
        </is>
      </c>
    </row>
    <row r="16" ht="40" customHeight="1">
      <c r="A16" s="36" t="inlineStr">
        <is>
          <t>③ K~P열 다면 보정</t>
        </is>
      </c>
      <c r="B16" s="12" t="inlineStr">
        <is>
          <t>유효 응답 6인 이상이면 최고·최저점을 각각 하나씩 제외한 후 기관 전체를 하나의 평가군으로 하여 제3호를 적용한다. 3인 미만은 80점.</t>
        </is>
      </c>
      <c r="C16" s="12" t="inlineStr">
        <is>
          <t>개정 15 (제22조⑤⑦) · [별표 9]</t>
        </is>
      </c>
      <c r="D16" s="37" t="inlineStr">
        <is>
          <t>부서장은 상향평가(제22조의2②)</t>
        </is>
      </c>
    </row>
    <row r="17" ht="40" customHeight="1">
      <c r="A17" s="36" t="inlineStr">
        <is>
          <t>③ B3 배점 스위치</t>
        </is>
      </c>
      <c r="B17" s="12" t="inlineStr">
        <is>
          <t>개정 14 채택 시 업적·역량 75 : 다면 20 : 공통 5. 미채택 시 85 : 10 : 5.</t>
        </is>
      </c>
      <c r="C17" s="12" t="inlineStr">
        <is>
          <t>규칙 제9조② · 개정 14 · 개정 5</t>
        </is>
      </c>
      <c r="D17" s="37" t="inlineStr">
        <is>
          <t>개정 15 미채택 시 개정 14도 철회</t>
        </is>
      </c>
    </row>
    <row r="18" ht="40" customHeight="1">
      <c r="A18" s="36" t="inlineStr">
        <is>
          <t>③ T열 종합점수</t>
        </is>
      </c>
      <c r="B18" s="12" t="inlineStr">
        <is>
          <t>업적·역량 배점 × 업적·역량 점수 + 다면 배점 × 다면 보정점수 + 5% × 공통평가</t>
        </is>
      </c>
      <c r="C18" s="12" t="inlineStr">
        <is>
          <t>규칙 제9조① · 제3조8호(개정 1)</t>
        </is>
      </c>
      <c r="D18" s="37" t="inlineStr">
        <is>
          <t>가감평가점수는 이 계산서 범위 외</t>
        </is>
      </c>
    </row>
    <row r="19" ht="40" customHeight="1">
      <c r="A19" s="36" t="inlineStr">
        <is>
          <t>③ U~Z열 정원</t>
        </is>
      </c>
      <c r="B19" s="12" t="inlineStr">
        <is>
          <t>직급별 전사 단위로 S20 · A30 · B40 · C10%를 최대잔여법으로 배정한다.</t>
        </is>
      </c>
      <c r="C19" s="12" t="inlineStr">
        <is>
          <t>규칙 제26조①③</t>
        </is>
      </c>
      <c r="D19" s="37" t="inlineStr">
        <is>
          <t>부서 단위 배정이 아니다</t>
        </is>
      </c>
    </row>
    <row r="20" ht="40" customHeight="1">
      <c r="A20" s="36" t="inlineStr">
        <is>
          <t>③ 정원 블록</t>
        </is>
      </c>
      <c r="B20" s="12" t="inlineStr">
        <is>
          <t>① 인원×비율의 정수부 배정 ② 남은 자리는 소수부가 큰 등급 순으로 하나씩</t>
        </is>
      </c>
      <c r="C20" s="12" t="inlineStr">
        <is>
          <t>규칙 제26조②③ · 〈09 수치의 근거〉 §2-3</t>
        </is>
      </c>
      <c r="D20" s="37" t="inlineStr">
        <is>
          <t>10명 미만은 [별표 10]</t>
        </is>
      </c>
    </row>
    <row r="21" ht="40" customHeight="1">
      <c r="A21" s="36" t="inlineStr">
        <is>
          <t>③ AD열 평정점</t>
        </is>
      </c>
      <c r="B21" s="12" t="inlineStr">
        <is>
          <t>구간 최고점 − (10 ÷ 등급별 인원) × (등급 내 순위 − 1)</t>
        </is>
      </c>
      <c r="C21" s="12" t="inlineStr">
        <is>
          <t>[별표 7] · 규칙 제27조④</t>
        </is>
      </c>
      <c r="D21" s="37" t="inlineStr">
        <is>
          <t>S100 · A90 · B80 · C70</t>
        </is>
      </c>
    </row>
    <row r="22" ht="40" customHeight="1">
      <c r="A22" s="36" t="inlineStr">
        <is>
          <t>④ s(n) 표</t>
        </is>
      </c>
      <c r="B22" s="12" t="inlineStr">
        <is>
          <t>n = 2~40 의 z값과 그 표준편차를 NORM.S.INV · STDEVP 로 계산한다.</t>
        </is>
      </c>
      <c r="C22" s="12" t="inlineStr">
        <is>
          <t>[별표 9] 제3호</t>
        </is>
      </c>
      <c r="D22" s="37" t="inlineStr">
        <is>
          <t>n=2~16 은 개정안 표 참고값과 대조</t>
        </is>
      </c>
    </row>
    <row r="23" ht="40" customHeight="1">
      <c r="A23" s="36" t="inlineStr">
        <is>
          <t>④·⑤ n ≥ 17 구간</t>
        </is>
      </c>
      <c r="B23" s="12" t="inlineStr">
        <is>
          <t>제3호 후단에 따라 s(n) = 1 을 적용한다. 그 결과 17명 이상 평가군의 표준편차는 7.00에 미달한다(n=17 → 6.51 · n=30 → 6.70 · n=40 → 6.76). 1차 평가군(부서 단위 3~16명)은 영향이 없고 2차 평가군(본부 단위)이 영향을 받는다.</t>
        </is>
      </c>
      <c r="C23" s="12" t="inlineStr">
        <is>
          <t>[별표 9] 제3호 후단</t>
        </is>
      </c>
      <c r="D23" s="37" t="inlineStr">
        <is>
          <t>★ 노사 협의 논점. ⑤ 검증 1-2절 참조. s(n) 표를 인원 구간 전체로 확대하면 해소된다</t>
        </is>
      </c>
    </row>
    <row r="24" ht="40" customHeight="1">
      <c r="A24" s="36" t="inlineStr">
        <is>
          <t>⑤ 검증 1·2</t>
        </is>
      </c>
      <c r="B24" s="12" t="inlineStr">
        <is>
          <t>평가군별 평균 80.00 · 표준편차 7.00 을 판정하고, ÷s(n) 없을 때의 미달값을 함께 보인다.</t>
        </is>
      </c>
      <c r="C24" s="12" t="inlineStr">
        <is>
          <t>[별표 9] 제3호·제4호</t>
        </is>
      </c>
      <c r="D24" s="37" t="inlineStr">
        <is>
          <t>제9조⑥1호 보고 항목과 같은 통계</t>
        </is>
      </c>
    </row>
    <row r="25" ht="40" customHeight="1">
      <c r="A25" s="36" t="inlineStr">
        <is>
          <t>⑤ 검증 5</t>
        </is>
      </c>
      <c r="B25" s="12" t="inlineStr">
        <is>
          <t>1차·2차 평가자 간 순위 일치도(스피어만)</t>
        </is>
      </c>
      <c r="C25" s="12" t="inlineStr">
        <is>
          <t>규칙 제9조⑥2호</t>
        </is>
      </c>
      <c r="D25" s="37" t="inlineStr">
        <is>
          <t>순위끼리의 피어슨 상관</t>
        </is>
      </c>
    </row>
    <row r="26" ht="40" customHeight="1">
      <c r="A26" s="36" t="inlineStr">
        <is>
          <t>⑦ MIS 요구사항</t>
        </is>
      </c>
      <c r="B26" s="12" t="inlineStr">
        <is>
          <t>보정 실행 주체·시점, 보정 전·후 점수 보관, 보고 항목 자동 산출</t>
        </is>
      </c>
      <c r="C26" s="12" t="inlineStr">
        <is>
          <t>제9조④⑥⑦ · 제28조① · 제22조⑧</t>
        </is>
      </c>
      <c r="D26" s="37" t="inlineStr">
        <is>
          <t>제31조의2에 따라 노사협의회 협의 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2026-09-13T14:10:41Z</dcterms:created>
  <dcterms:modified xmlns:dcterms="http://purl.org/dc/terms/" xmlns:xsi="http://www.w3.org/2001/XMLSchema-instance" xsi:type="dcterms:W3CDTF">2026-09-13T14:10:42Z</dcterms:modified>
</cp:coreProperties>
</file>